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T\8V\"/>
    </mc:Choice>
  </mc:AlternateContent>
  <xr:revisionPtr revIDLastSave="0" documentId="8_{9D4165FE-282A-40DB-A21A-C4B72716D1F5}" xr6:coauthVersionLast="47" xr6:coauthVersionMax="47" xr10:uidLastSave="{00000000-0000-0000-0000-000000000000}"/>
  <bookViews>
    <workbookView xWindow="-12" yWindow="-732" windowWidth="23064" windowHeight="12636" xr2:uid="{42B2261A-BA71-4491-B623-EE3ADCBEF8DD}"/>
  </bookViews>
  <sheets>
    <sheet name="Spend By Supplier" sheetId="7" r:id="rId1"/>
    <sheet name="Order Status By Supplier" sheetId="8" r:id="rId2"/>
    <sheet name="Procurement KPI Analysis Datase" sheetId="1" r:id="rId3"/>
  </sheets>
  <calcPr calcId="0"/>
  <pivotCaches>
    <pivotCache cacheId="19" r:id="rId4"/>
  </pivotCaches>
</workbook>
</file>

<file path=xl/calcChain.xml><?xml version="1.0" encoding="utf-8"?>
<calcChain xmlns="http://schemas.openxmlformats.org/spreadsheetml/2006/main">
  <c r="C13" i="7" l="1"/>
  <c r="L5" i="1"/>
  <c r="L413" i="1"/>
  <c r="L773" i="1"/>
  <c r="L3" i="1"/>
  <c r="L4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4" i="1"/>
  <c r="L775" i="1"/>
  <c r="L776" i="1"/>
  <c r="L777" i="1"/>
  <c r="L778" i="1"/>
  <c r="L2" i="1"/>
</calcChain>
</file>

<file path=xl/sharedStrings.xml><?xml version="1.0" encoding="utf-8"?>
<sst xmlns="http://schemas.openxmlformats.org/spreadsheetml/2006/main" count="3917" uniqueCount="813">
  <si>
    <t>PO_ID</t>
  </si>
  <si>
    <t>Supplier</t>
  </si>
  <si>
    <t>Order_Date</t>
  </si>
  <si>
    <t>Delivery_Date</t>
  </si>
  <si>
    <t>Item_Category</t>
  </si>
  <si>
    <t>Order_Status</t>
  </si>
  <si>
    <t>Quantity</t>
  </si>
  <si>
    <t>Unit_Price</t>
  </si>
  <si>
    <t>Negotiated_Price</t>
  </si>
  <si>
    <t>Defective_Units</t>
  </si>
  <si>
    <t>Compliance</t>
  </si>
  <si>
    <t>Actual_Spend</t>
  </si>
  <si>
    <t>PO-00001</t>
  </si>
  <si>
    <t>Alpha_Inc</t>
  </si>
  <si>
    <t>Office Supplies</t>
  </si>
  <si>
    <t>Cancelled</t>
  </si>
  <si>
    <t>Yes</t>
  </si>
  <si>
    <t>PO-00002</t>
  </si>
  <si>
    <t>Delta_Logistics</t>
  </si>
  <si>
    <t>Delivered</t>
  </si>
  <si>
    <t>PO-00003</t>
  </si>
  <si>
    <t>Gamma_Co</t>
  </si>
  <si>
    <t>MRO</t>
  </si>
  <si>
    <t>PO-00004</t>
  </si>
  <si>
    <t>Packaging</t>
  </si>
  <si>
    <t>PO-00005</t>
  </si>
  <si>
    <t>Raw Materials</t>
  </si>
  <si>
    <t>No</t>
  </si>
  <si>
    <t>PO-00006</t>
  </si>
  <si>
    <t>Epsilon_Group</t>
  </si>
  <si>
    <t>PO-00007</t>
  </si>
  <si>
    <t>PO-00008</t>
  </si>
  <si>
    <t>PO-00009</t>
  </si>
  <si>
    <t>Partially Delivered</t>
  </si>
  <si>
    <t>PO-00010</t>
  </si>
  <si>
    <t>Pending</t>
  </si>
  <si>
    <t>PO-00011</t>
  </si>
  <si>
    <t>PO-00012</t>
  </si>
  <si>
    <t>Beta_Supplies</t>
  </si>
  <si>
    <t>PO-00013</t>
  </si>
  <si>
    <t>Electronics</t>
  </si>
  <si>
    <t>PO-00014</t>
  </si>
  <si>
    <t>PO-00015</t>
  </si>
  <si>
    <t>PO-00016</t>
  </si>
  <si>
    <t>PO-00017</t>
  </si>
  <si>
    <t>PO-00018</t>
  </si>
  <si>
    <t>PO-00019</t>
  </si>
  <si>
    <t>PO-00020</t>
  </si>
  <si>
    <t>PO-00021</t>
  </si>
  <si>
    <t>PO-00022</t>
  </si>
  <si>
    <t>PO-00023</t>
  </si>
  <si>
    <t>PO-00024</t>
  </si>
  <si>
    <t>PO-00025</t>
  </si>
  <si>
    <t>PO-00026</t>
  </si>
  <si>
    <t>PO-00027</t>
  </si>
  <si>
    <t>PO-00028</t>
  </si>
  <si>
    <t>PO-00029</t>
  </si>
  <si>
    <t>PO-00030</t>
  </si>
  <si>
    <t>PO-00031</t>
  </si>
  <si>
    <t>PO-00032</t>
  </si>
  <si>
    <t>PO-00033</t>
  </si>
  <si>
    <t>PO-00034</t>
  </si>
  <si>
    <t>PO-00035</t>
  </si>
  <si>
    <t>PO-00036</t>
  </si>
  <si>
    <t>PO-00037</t>
  </si>
  <si>
    <t>PO-00038</t>
  </si>
  <si>
    <t>PO-00039</t>
  </si>
  <si>
    <t>PO-00040</t>
  </si>
  <si>
    <t>PO-00041</t>
  </si>
  <si>
    <t>PO-00042</t>
  </si>
  <si>
    <t>PO-00043</t>
  </si>
  <si>
    <t>PO-00044</t>
  </si>
  <si>
    <t>PO-00045</t>
  </si>
  <si>
    <t>PO-00046</t>
  </si>
  <si>
    <t>PO-00047</t>
  </si>
  <si>
    <t>PO-00048</t>
  </si>
  <si>
    <t>PO-00049</t>
  </si>
  <si>
    <t>PO-00050</t>
  </si>
  <si>
    <t>PO-00051</t>
  </si>
  <si>
    <t>PO-00052</t>
  </si>
  <si>
    <t>PO-00053</t>
  </si>
  <si>
    <t>PO-00054</t>
  </si>
  <si>
    <t>PO-00055</t>
  </si>
  <si>
    <t>PO-00056</t>
  </si>
  <si>
    <t>PO-00057</t>
  </si>
  <si>
    <t>PO-00058</t>
  </si>
  <si>
    <t>PO-00059</t>
  </si>
  <si>
    <t>PO-00060</t>
  </si>
  <si>
    <t>PO-00061</t>
  </si>
  <si>
    <t>PO-00062</t>
  </si>
  <si>
    <t>PO-00063</t>
  </si>
  <si>
    <t>PO-00064</t>
  </si>
  <si>
    <t>PO-00065</t>
  </si>
  <si>
    <t>PO-00066</t>
  </si>
  <si>
    <t>PO-00067</t>
  </si>
  <si>
    <t>PO-00068</t>
  </si>
  <si>
    <t>PO-00069</t>
  </si>
  <si>
    <t>PO-00070</t>
  </si>
  <si>
    <t>PO-00071</t>
  </si>
  <si>
    <t>PO-00072</t>
  </si>
  <si>
    <t>PO-00073</t>
  </si>
  <si>
    <t>PO-00074</t>
  </si>
  <si>
    <t>PO-00075</t>
  </si>
  <si>
    <t>PO-00076</t>
  </si>
  <si>
    <t>PO-00077</t>
  </si>
  <si>
    <t>PO-00078</t>
  </si>
  <si>
    <t>PO-00079</t>
  </si>
  <si>
    <t>PO-00080</t>
  </si>
  <si>
    <t>PO-00081</t>
  </si>
  <si>
    <t>PO-00082</t>
  </si>
  <si>
    <t>PO-00083</t>
  </si>
  <si>
    <t>PO-00084</t>
  </si>
  <si>
    <t>PO-00085</t>
  </si>
  <si>
    <t>PO-00086</t>
  </si>
  <si>
    <t>PO-00087</t>
  </si>
  <si>
    <t>PO-00088</t>
  </si>
  <si>
    <t>PO-00089</t>
  </si>
  <si>
    <t>PO-00090</t>
  </si>
  <si>
    <t>PO-00091</t>
  </si>
  <si>
    <t>PO-00092</t>
  </si>
  <si>
    <t>PO-00093</t>
  </si>
  <si>
    <t>PO-00094</t>
  </si>
  <si>
    <t>PO-00095</t>
  </si>
  <si>
    <t>PO-00096</t>
  </si>
  <si>
    <t>PO-00097</t>
  </si>
  <si>
    <t>PO-00098</t>
  </si>
  <si>
    <t>PO-00099</t>
  </si>
  <si>
    <t>PO-00100</t>
  </si>
  <si>
    <t>PO-00101</t>
  </si>
  <si>
    <t>PO-00102</t>
  </si>
  <si>
    <t>PO-00103</t>
  </si>
  <si>
    <t>PO-00104</t>
  </si>
  <si>
    <t>PO-00105</t>
  </si>
  <si>
    <t>PO-00106</t>
  </si>
  <si>
    <t>PO-00107</t>
  </si>
  <si>
    <t>PO-00108</t>
  </si>
  <si>
    <t>PO-00109</t>
  </si>
  <si>
    <t>PO-00110</t>
  </si>
  <si>
    <t>PO-00111</t>
  </si>
  <si>
    <t>PO-00112</t>
  </si>
  <si>
    <t>PO-00113</t>
  </si>
  <si>
    <t>PO-00114</t>
  </si>
  <si>
    <t>PO-00115</t>
  </si>
  <si>
    <t>PO-00116</t>
  </si>
  <si>
    <t>PO-00117</t>
  </si>
  <si>
    <t>PO-00118</t>
  </si>
  <si>
    <t>PO-00119</t>
  </si>
  <si>
    <t>PO-00120</t>
  </si>
  <si>
    <t>PO-00121</t>
  </si>
  <si>
    <t>PO-00122</t>
  </si>
  <si>
    <t>PO-00123</t>
  </si>
  <si>
    <t>PO-00124</t>
  </si>
  <si>
    <t>PO-00125</t>
  </si>
  <si>
    <t>PO-00126</t>
  </si>
  <si>
    <t>PO-00127</t>
  </si>
  <si>
    <t>PO-00128</t>
  </si>
  <si>
    <t>PO-00129</t>
  </si>
  <si>
    <t>PO-00130</t>
  </si>
  <si>
    <t>PO-00131</t>
  </si>
  <si>
    <t>PO-00132</t>
  </si>
  <si>
    <t>PO-00133</t>
  </si>
  <si>
    <t>PO-00134</t>
  </si>
  <si>
    <t>PO-00135</t>
  </si>
  <si>
    <t>PO-00136</t>
  </si>
  <si>
    <t>PO-00137</t>
  </si>
  <si>
    <t>PO-00138</t>
  </si>
  <si>
    <t>PO-00139</t>
  </si>
  <si>
    <t>PO-00140</t>
  </si>
  <si>
    <t>PO-00141</t>
  </si>
  <si>
    <t>PO-00142</t>
  </si>
  <si>
    <t>PO-00143</t>
  </si>
  <si>
    <t>PO-00144</t>
  </si>
  <si>
    <t>PO-00145</t>
  </si>
  <si>
    <t>PO-00146</t>
  </si>
  <si>
    <t>PO-00147</t>
  </si>
  <si>
    <t>PO-00148</t>
  </si>
  <si>
    <t>PO-00149</t>
  </si>
  <si>
    <t>PO-00150</t>
  </si>
  <si>
    <t>PO-00151</t>
  </si>
  <si>
    <t>PO-00152</t>
  </si>
  <si>
    <t>PO-00153</t>
  </si>
  <si>
    <t>PO-00154</t>
  </si>
  <si>
    <t>PO-00155</t>
  </si>
  <si>
    <t>PO-00156</t>
  </si>
  <si>
    <t>PO-00157</t>
  </si>
  <si>
    <t>PO-00158</t>
  </si>
  <si>
    <t>PO-00159</t>
  </si>
  <si>
    <t>PO-00160</t>
  </si>
  <si>
    <t>PO-00161</t>
  </si>
  <si>
    <t>PO-00162</t>
  </si>
  <si>
    <t>PO-00163</t>
  </si>
  <si>
    <t>PO-00164</t>
  </si>
  <si>
    <t>PO-00165</t>
  </si>
  <si>
    <t>PO-00166</t>
  </si>
  <si>
    <t>PO-00167</t>
  </si>
  <si>
    <t>PO-00168</t>
  </si>
  <si>
    <t>PO-00169</t>
  </si>
  <si>
    <t>PO-00170</t>
  </si>
  <si>
    <t>PO-00171</t>
  </si>
  <si>
    <t>PO-00172</t>
  </si>
  <si>
    <t>PO-00173</t>
  </si>
  <si>
    <t>PO-00174</t>
  </si>
  <si>
    <t>PO-00175</t>
  </si>
  <si>
    <t>PO-00176</t>
  </si>
  <si>
    <t>PO-00177</t>
  </si>
  <si>
    <t>PO-00178</t>
  </si>
  <si>
    <t>PO-00179</t>
  </si>
  <si>
    <t>PO-00180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</si>
  <si>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</si>
  <si>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</si>
  <si>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</si>
  <si>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</si>
  <si>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</si>
  <si>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</si>
  <si>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</si>
  <si>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</si>
  <si>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</si>
  <si>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</si>
  <si>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</si>
  <si>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</si>
  <si>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PO-00193</t>
  </si>
  <si>
    <t>PO-00194</t>
  </si>
  <si>
    <t>PO-00195</t>
  </si>
  <si>
    <t>PO-00196</t>
  </si>
  <si>
    <t>PO-00197</t>
  </si>
  <si>
    <t>PO-00198</t>
  </si>
  <si>
    <t>PO-00199</t>
  </si>
  <si>
    <t>PO-00200</t>
  </si>
  <si>
    <t>PO-00201</t>
  </si>
  <si>
    <t>PO-00202</t>
  </si>
  <si>
    <t>PO-00203</t>
  </si>
  <si>
    <t>PO-00204</t>
  </si>
  <si>
    <t>PO-00205</t>
  </si>
  <si>
    <t>PO-00206</t>
  </si>
  <si>
    <t>PO-00207</t>
  </si>
  <si>
    <t>PO-00208</t>
  </si>
  <si>
    <t>PO-00209</t>
  </si>
  <si>
    <t>PO-00210</t>
  </si>
  <si>
    <t>PO-00211</t>
  </si>
  <si>
    <t>PO-00212</t>
  </si>
  <si>
    <t>PO-00213</t>
  </si>
  <si>
    <t>PO-00214</t>
  </si>
  <si>
    <t>PO-00215</t>
  </si>
  <si>
    <t>PO-00216</t>
  </si>
  <si>
    <t>PO-00217</t>
  </si>
  <si>
    <t>PO-00218</t>
  </si>
  <si>
    <t>PO-00219</t>
  </si>
  <si>
    <t>PO-00220</t>
  </si>
  <si>
    <t>PO-00221</t>
  </si>
  <si>
    <t>PO-00222</t>
  </si>
  <si>
    <t>PO-00223</t>
  </si>
  <si>
    <t>PO-00224</t>
  </si>
  <si>
    <t>PO-00225</t>
  </si>
  <si>
    <t>PO-00226</t>
  </si>
  <si>
    <t>PO-00227</t>
  </si>
  <si>
    <t>PO-00228</t>
  </si>
  <si>
    <t>PO-00229</t>
  </si>
  <si>
    <t>PO-00230</t>
  </si>
  <si>
    <t>PO-00231</t>
  </si>
  <si>
    <t>PO-00232</t>
  </si>
  <si>
    <t>PO-00233</t>
  </si>
  <si>
    <t>PO-00234</t>
  </si>
  <si>
    <t>PO-00235</t>
  </si>
  <si>
    <t>PO-00236</t>
  </si>
  <si>
    <t>PO-00237</t>
  </si>
  <si>
    <t>PO-00238</t>
  </si>
  <si>
    <t>PO-00239</t>
  </si>
  <si>
    <t>PO-00240</t>
  </si>
  <si>
    <t>PO-00241</t>
  </si>
  <si>
    <t>PO-00242</t>
  </si>
  <si>
    <t>PO-00243</t>
  </si>
  <si>
    <t>PO-00244</t>
  </si>
  <si>
    <t>PO-00245</t>
  </si>
  <si>
    <t>PO-00246</t>
  </si>
  <si>
    <t>PO-00247</t>
  </si>
  <si>
    <t>PO-00248</t>
  </si>
  <si>
    <t>PO-00249</t>
  </si>
  <si>
    <t>PO-00250</t>
  </si>
  <si>
    <t>PO-00251</t>
  </si>
  <si>
    <t>PO-00252</t>
  </si>
  <si>
    <t>PO-00253</t>
  </si>
  <si>
    <t>PO-00254</t>
  </si>
  <si>
    <t>PO-00255</t>
  </si>
  <si>
    <t>PO-00256</t>
  </si>
  <si>
    <t>PO-00257</t>
  </si>
  <si>
    <t>PO-00258</t>
  </si>
  <si>
    <t>PO-00259</t>
  </si>
  <si>
    <t>PO-00260</t>
  </si>
  <si>
    <t>PO-00261</t>
  </si>
  <si>
    <t>PO-00262</t>
  </si>
  <si>
    <t>PO-00263</t>
  </si>
  <si>
    <t>PO-00264</t>
  </si>
  <si>
    <t>PO-00265</t>
  </si>
  <si>
    <t>PO-00266</t>
  </si>
  <si>
    <t>PO-00267</t>
  </si>
  <si>
    <t>PO-00268</t>
  </si>
  <si>
    <t>PO-00269</t>
  </si>
  <si>
    <t>PO-00270</t>
  </si>
  <si>
    <t>PO-00271</t>
  </si>
  <si>
    <t>PO-00272</t>
  </si>
  <si>
    <t>PO-00273</t>
  </si>
  <si>
    <t>PO-00274</t>
  </si>
  <si>
    <t>PO-00275</t>
  </si>
  <si>
    <t>PO-00276</t>
  </si>
  <si>
    <t>PO-00277</t>
  </si>
  <si>
    <t>PO-00278</t>
  </si>
  <si>
    <t>PO-00279</t>
  </si>
  <si>
    <t>PO-00280</t>
  </si>
  <si>
    <t>PO-00281</t>
  </si>
  <si>
    <t>PO-00282</t>
  </si>
  <si>
    <t>PO-00283</t>
  </si>
  <si>
    <t>PO-00284</t>
  </si>
  <si>
    <t>PO-00285</t>
  </si>
  <si>
    <t>PO-00286</t>
  </si>
  <si>
    <t>PO-00287</t>
  </si>
  <si>
    <t>PO-00288</t>
  </si>
  <si>
    <t>PO-00289</t>
  </si>
  <si>
    <t>PO-00290</t>
  </si>
  <si>
    <t>PO-00291</t>
  </si>
  <si>
    <t>PO-00292</t>
  </si>
  <si>
    <t>PO-00293</t>
  </si>
  <si>
    <t>PO-00294</t>
  </si>
  <si>
    <t>PO-00295</t>
  </si>
  <si>
    <t>PO-00296</t>
  </si>
  <si>
    <t>PO-00297</t>
  </si>
  <si>
    <t>PO-00298</t>
  </si>
  <si>
    <t>PO-00299</t>
  </si>
  <si>
    <t>PO-00300</t>
  </si>
  <si>
    <t>PO-00301</t>
  </si>
  <si>
    <t>PO-00302</t>
  </si>
  <si>
    <t>PO-00303</t>
  </si>
  <si>
    <t>PO-00304</t>
  </si>
  <si>
    <t>PO-00305</t>
  </si>
  <si>
    <t>PO-00306</t>
  </si>
  <si>
    <t>PO-00307</t>
  </si>
  <si>
    <t>PO-00308</t>
  </si>
  <si>
    <t>PO-00309</t>
  </si>
  <si>
    <t>PO-00310</t>
  </si>
  <si>
    <t>PO-00311</t>
  </si>
  <si>
    <t>PO-00312</t>
  </si>
  <si>
    <t>PO-00313</t>
  </si>
  <si>
    <t>PO-00314</t>
  </si>
  <si>
    <t>PO-00315</t>
  </si>
  <si>
    <t>PO-00316</t>
  </si>
  <si>
    <t>PO-00317</t>
  </si>
  <si>
    <t>PO-00318</t>
  </si>
  <si>
    <t>PO-00319</t>
  </si>
  <si>
    <t>PO-00320</t>
  </si>
  <si>
    <t>PO-00321</t>
  </si>
  <si>
    <t>PO-00322</t>
  </si>
  <si>
    <t>PO-00323</t>
  </si>
  <si>
    <t>PO-00324</t>
  </si>
  <si>
    <t>PO-00325</t>
  </si>
  <si>
    <t>PO-00326</t>
  </si>
  <si>
    <t>PO-00327</t>
  </si>
  <si>
    <t>PO-00328</t>
  </si>
  <si>
    <t>PO-00329</t>
  </si>
  <si>
    <t>PO-00330</t>
  </si>
  <si>
    <t>PO-00331</t>
  </si>
  <si>
    <t>PO-00332</t>
  </si>
  <si>
    <t>PO-00333</t>
  </si>
  <si>
    <t>PO-00334</t>
  </si>
  <si>
    <t>PO-00335</t>
  </si>
  <si>
    <t>PO-00336</t>
  </si>
  <si>
    <t>PO-00337</t>
  </si>
  <si>
    <t>PO-00338</t>
  </si>
  <si>
    <t>PO-00339</t>
  </si>
  <si>
    <t>PO-00340</t>
  </si>
  <si>
    <t>PO-00341</t>
  </si>
  <si>
    <t>PO-00342</t>
  </si>
  <si>
    <t>PO-00343</t>
  </si>
  <si>
    <t>PO-00344</t>
  </si>
  <si>
    <t>PO-00345</t>
  </si>
  <si>
    <t>PO-00346</t>
  </si>
  <si>
    <t>PO-00347</t>
  </si>
  <si>
    <t>PO-00348</t>
  </si>
  <si>
    <t>PO-00349</t>
  </si>
  <si>
    <t>PO-00350</t>
  </si>
  <si>
    <t>PO-00351</t>
  </si>
  <si>
    <t>PO-00352</t>
  </si>
  <si>
    <t>PO-00353</t>
  </si>
  <si>
    <t>PO-00354</t>
  </si>
  <si>
    <t>PO-00355</t>
  </si>
  <si>
    <t>PO-00356</t>
  </si>
  <si>
    <t>PO-00357</t>
  </si>
  <si>
    <t>PO-00358</t>
  </si>
  <si>
    <t>PO-00359</t>
  </si>
  <si>
    <t>PO-00360</t>
  </si>
  <si>
    <t>PO-00361</t>
  </si>
  <si>
    <t>PO-00362</t>
  </si>
  <si>
    <t>PO-00363</t>
  </si>
  <si>
    <t>PO-00364</t>
  </si>
  <si>
    <t>PO-00365</t>
  </si>
  <si>
    <t>PO-00366</t>
  </si>
  <si>
    <t>PO-00367</t>
  </si>
  <si>
    <t>PO-00368</t>
  </si>
  <si>
    <t>PO-00369</t>
  </si>
  <si>
    <t>PO-00370</t>
  </si>
  <si>
    <t>PO-00371</t>
  </si>
  <si>
    <t>PO-00372</t>
  </si>
  <si>
    <t>PO-00373</t>
  </si>
  <si>
    <t>PO-00374</t>
  </si>
  <si>
    <t>PO-00375</t>
  </si>
  <si>
    <t>PO-00376</t>
  </si>
  <si>
    <t>PO-00377</t>
  </si>
  <si>
    <t>PO-00378</t>
  </si>
  <si>
    <t>PO-00379</t>
  </si>
  <si>
    <t>PO-00380</t>
  </si>
  <si>
    <t>PO-00381</t>
  </si>
  <si>
    <t>PO-00382</t>
  </si>
  <si>
    <t>PO-00383</t>
  </si>
  <si>
    <t>PO-00384</t>
  </si>
  <si>
    <t>PO-00385</t>
  </si>
  <si>
    <t>PO-00386</t>
  </si>
  <si>
    <t>PO-00387</t>
  </si>
  <si>
    <t>PO-00388</t>
  </si>
  <si>
    <t>PO-00389</t>
  </si>
  <si>
    <t>PO-00390</t>
  </si>
  <si>
    <t>PO-00391</t>
  </si>
  <si>
    <t>PO-00392</t>
  </si>
  <si>
    <t>PO-00393</t>
  </si>
  <si>
    <t>PO-00394</t>
  </si>
  <si>
    <t>PO-00395</t>
  </si>
  <si>
    <t>PO-00396</t>
  </si>
  <si>
    <t>PO-00397</t>
  </si>
  <si>
    <t>PO-00398</t>
  </si>
  <si>
    <t>PO-00399</t>
  </si>
  <si>
    <t>PO-00400</t>
  </si>
  <si>
    <t>PO-00401</t>
  </si>
  <si>
    <t>PO-00402</t>
  </si>
  <si>
    <t>PO-00403</t>
  </si>
  <si>
    <t>PO-00404</t>
  </si>
  <si>
    <t>PO-00405</t>
  </si>
  <si>
    <t>PO-00406</t>
  </si>
  <si>
    <t>PO-00407</t>
  </si>
  <si>
    <t>PO-00408</t>
  </si>
  <si>
    <t>PO-00409</t>
  </si>
  <si>
    <t>PO-00410</t>
  </si>
  <si>
    <t>PO-00411</t>
  </si>
  <si>
    <t>PO-00412</t>
  </si>
  <si>
    <t>PO-00413</t>
  </si>
  <si>
    <t>PO-00414</t>
  </si>
  <si>
    <t>PO-00415</t>
  </si>
  <si>
    <t>PO-00416</t>
  </si>
  <si>
    <t>PO-00417</t>
  </si>
  <si>
    <t>PO-00418</t>
  </si>
  <si>
    <t>PO-00419</t>
  </si>
  <si>
    <t>PO-00420</t>
  </si>
  <si>
    <t>PO-00421</t>
  </si>
  <si>
    <t>PO-00422</t>
  </si>
  <si>
    <t>PO-00423</t>
  </si>
  <si>
    <t>PO-00424</t>
  </si>
  <si>
    <t>PO-00425</t>
  </si>
  <si>
    <t>PO-00426</t>
  </si>
  <si>
    <t>PO-00427</t>
  </si>
  <si>
    <t>PO-00428</t>
  </si>
  <si>
    <t>PO-00429</t>
  </si>
  <si>
    <t>PO-00430</t>
  </si>
  <si>
    <t>PO-00431</t>
  </si>
  <si>
    <t>PO-00432</t>
  </si>
  <si>
    <t>PO-00433</t>
  </si>
  <si>
    <t>PO-00434</t>
  </si>
  <si>
    <t>PO-00435</t>
  </si>
  <si>
    <t>PO-00436</t>
  </si>
  <si>
    <t>PO-00437</t>
  </si>
  <si>
    <t>PO-00438</t>
  </si>
  <si>
    <t>PO-00439</t>
  </si>
  <si>
    <t>PO-00440</t>
  </si>
  <si>
    <t>PO-00441</t>
  </si>
  <si>
    <t>PO-00442</t>
  </si>
  <si>
    <t>PO-00443</t>
  </si>
  <si>
    <t>PO-00444</t>
  </si>
  <si>
    <t>PO-00445</t>
  </si>
  <si>
    <t>PO-00446</t>
  </si>
  <si>
    <t>PO-00447</t>
  </si>
  <si>
    <t>PO-00448</t>
  </si>
  <si>
    <t>PO-00449</t>
  </si>
  <si>
    <t>PO-00450</t>
  </si>
  <si>
    <t>PO-00451</t>
  </si>
  <si>
    <t>PO-00452</t>
  </si>
  <si>
    <t>PO-00453</t>
  </si>
  <si>
    <t>PO-00454</t>
  </si>
  <si>
    <t>PO-00455</t>
  </si>
  <si>
    <t>PO-00456</t>
  </si>
  <si>
    <t>PO-00457</t>
  </si>
  <si>
    <t>PO-00458</t>
  </si>
  <si>
    <t>PO-00459</t>
  </si>
  <si>
    <t>PO-00460</t>
  </si>
  <si>
    <t>PO-00461</t>
  </si>
  <si>
    <t>PO-00462</t>
  </si>
  <si>
    <t>PO-00463</t>
  </si>
  <si>
    <t>PO-00464</t>
  </si>
  <si>
    <t>PO-00465</t>
  </si>
  <si>
    <t>PO-00466</t>
  </si>
  <si>
    <t>PO-00467</t>
  </si>
  <si>
    <t>PO-00468</t>
  </si>
  <si>
    <t>PO-00469</t>
  </si>
  <si>
    <t>PO-00470</t>
  </si>
  <si>
    <t>PO-00471</t>
  </si>
  <si>
    <t>PO-00472</t>
  </si>
  <si>
    <t>PO-00473</t>
  </si>
  <si>
    <t>PO-00474</t>
  </si>
  <si>
    <t>PO-00475</t>
  </si>
  <si>
    <t>PO-00476</t>
  </si>
  <si>
    <t>PO-00477</t>
  </si>
  <si>
    <t>PO-00478</t>
  </si>
  <si>
    <t>PO-00479</t>
  </si>
  <si>
    <t>PO-00480</t>
  </si>
  <si>
    <t>PO-00481</t>
  </si>
  <si>
    <t>PO-00482</t>
  </si>
  <si>
    <t>PO-00483</t>
  </si>
  <si>
    <t>PO-00484</t>
  </si>
  <si>
    <t>PO-00485</t>
  </si>
  <si>
    <t>PO-00486</t>
  </si>
  <si>
    <t>PO-00487</t>
  </si>
  <si>
    <t>PO-00488</t>
  </si>
  <si>
    <t>PO-00489</t>
  </si>
  <si>
    <t>PO-00490</t>
  </si>
  <si>
    <t>PO-00491</t>
  </si>
  <si>
    <t>PO-00492</t>
  </si>
  <si>
    <t>PO-00493</t>
  </si>
  <si>
    <t>PO-00494</t>
  </si>
  <si>
    <t>PO-00495</t>
  </si>
  <si>
    <t>PO-00496</t>
  </si>
  <si>
    <t>PO-00497</t>
  </si>
  <si>
    <t>PO-00498</t>
  </si>
  <si>
    <t>PO-00499</t>
  </si>
  <si>
    <t>PO-00500</t>
  </si>
  <si>
    <t>PO-00501</t>
  </si>
  <si>
    <t>PO-00502</t>
  </si>
  <si>
    <t>PO-00503</t>
  </si>
  <si>
    <t>PO-00504</t>
  </si>
  <si>
    <t>PO-00505</t>
  </si>
  <si>
    <t>PO-00506</t>
  </si>
  <si>
    <t>PO-00507</t>
  </si>
  <si>
    <t>PO-00508</t>
  </si>
  <si>
    <t>PO-00509</t>
  </si>
  <si>
    <t>PO-00510</t>
  </si>
  <si>
    <t>PO-00511</t>
  </si>
  <si>
    <t>PO-00512</t>
  </si>
  <si>
    <t>PO-00513</t>
  </si>
  <si>
    <t>PO-00514</t>
  </si>
  <si>
    <t>PO-00515</t>
  </si>
  <si>
    <t>PO-00516</t>
  </si>
  <si>
    <t>PO-00517</t>
  </si>
  <si>
    <t>PO-00518</t>
  </si>
  <si>
    <t>PO-00519</t>
  </si>
  <si>
    <t>PO-00520</t>
  </si>
  <si>
    <t>PO-00521</t>
  </si>
  <si>
    <t>PO-00522</t>
  </si>
  <si>
    <t>PO-00523</t>
  </si>
  <si>
    <t>PO-00524</t>
  </si>
  <si>
    <t>PO-00525</t>
  </si>
  <si>
    <t>PO-00526</t>
  </si>
  <si>
    <t>PO-00527</t>
  </si>
  <si>
    <t>PO-00528</t>
  </si>
  <si>
    <t>PO-00529</t>
  </si>
  <si>
    <t>PO-00530</t>
  </si>
  <si>
    <t>PO-00531</t>
  </si>
  <si>
    <t>PO-00532</t>
  </si>
  <si>
    <t>PO-00533</t>
  </si>
  <si>
    <t>PO-00534</t>
  </si>
  <si>
    <t>PO-00535</t>
  </si>
  <si>
    <t>PO-00536</t>
  </si>
  <si>
    <t>PO-00537</t>
  </si>
  <si>
    <t>PO-00538</t>
  </si>
  <si>
    <t>PO-00539</t>
  </si>
  <si>
    <t>PO-00540</t>
  </si>
  <si>
    <t>PO-00541</t>
  </si>
  <si>
    <t>PO-00542</t>
  </si>
  <si>
    <t>PO-00543</t>
  </si>
  <si>
    <t>PO-00544</t>
  </si>
  <si>
    <t>PO-00545</t>
  </si>
  <si>
    <t>PO-00546</t>
  </si>
  <si>
    <t>PO-00547</t>
  </si>
  <si>
    <t>PO-00548</t>
  </si>
  <si>
    <t>PO-00549</t>
  </si>
  <si>
    <t>PO-00550</t>
  </si>
  <si>
    <t>PO-00551</t>
  </si>
  <si>
    <t>PO-00552</t>
  </si>
  <si>
    <t>PO-00553</t>
  </si>
  <si>
    <t>PO-00554</t>
  </si>
  <si>
    <t>PO-00555</t>
  </si>
  <si>
    <t>PO-00556</t>
  </si>
  <si>
    <t>PO-00557</t>
  </si>
  <si>
    <t>PO-00558</t>
  </si>
  <si>
    <t>PO-00559</t>
  </si>
  <si>
    <t>PO-00560</t>
  </si>
  <si>
    <t>PO-00561</t>
  </si>
  <si>
    <t>PO-00562</t>
  </si>
  <si>
    <t>PO-00563</t>
  </si>
  <si>
    <t>PO-00564</t>
  </si>
  <si>
    <t>PO-00565</t>
  </si>
  <si>
    <t>PO-00566</t>
  </si>
  <si>
    <t>PO-00567</t>
  </si>
  <si>
    <t>PO-00568</t>
  </si>
  <si>
    <t>PO-00569</t>
  </si>
  <si>
    <t>PO-00570</t>
  </si>
  <si>
    <t>PO-00571</t>
  </si>
  <si>
    <t>PO-00572</t>
  </si>
  <si>
    <t>PO-00573</t>
  </si>
  <si>
    <t>PO-00574</t>
  </si>
  <si>
    <t>PO-00575</t>
  </si>
  <si>
    <t>PO-00576</t>
  </si>
  <si>
    <t>PO-00577</t>
  </si>
  <si>
    <t>PO-00578</t>
  </si>
  <si>
    <t>PO-00579</t>
  </si>
  <si>
    <t>PO-00580</t>
  </si>
  <si>
    <t>PO-00581</t>
  </si>
  <si>
    <t>PO-00582</t>
  </si>
  <si>
    <t>PO-00583</t>
  </si>
  <si>
    <t>PO-00584</t>
  </si>
  <si>
    <t>PO-00585</t>
  </si>
  <si>
    <t>PO-00586</t>
  </si>
  <si>
    <t>PO-00587</t>
  </si>
  <si>
    <t>PO-00588</t>
  </si>
  <si>
    <t>PO-00589</t>
  </si>
  <si>
    <t>PO-00590</t>
  </si>
  <si>
    <t>PO-00591</t>
  </si>
  <si>
    <t>PO-00592</t>
  </si>
  <si>
    <t>PO-00593</t>
  </si>
  <si>
    <t>PO-00594</t>
  </si>
  <si>
    <t>PO-00595</t>
  </si>
  <si>
    <t>PO-00596</t>
  </si>
  <si>
    <t>PO-00597</t>
  </si>
  <si>
    <t>PO-00598</t>
  </si>
  <si>
    <t>PO-00599</t>
  </si>
  <si>
    <t>PO-00600</t>
  </si>
  <si>
    <t>PO-00601</t>
  </si>
  <si>
    <t>PO-00602</t>
  </si>
  <si>
    <t>PO-00603</t>
  </si>
  <si>
    <t>PO-00604</t>
  </si>
  <si>
    <t>PO-00605</t>
  </si>
  <si>
    <t>PO-00606</t>
  </si>
  <si>
    <t>PO-00607</t>
  </si>
  <si>
    <t>PO-00608</t>
  </si>
  <si>
    <t>PO-00609</t>
  </si>
  <si>
    <t>PO-00610</t>
  </si>
  <si>
    <t>PO-00611</t>
  </si>
  <si>
    <t>PO-00612</t>
  </si>
  <si>
    <t>PO-00613</t>
  </si>
  <si>
    <t>PO-00614</t>
  </si>
  <si>
    <t>PO-00615</t>
  </si>
  <si>
    <t>PO-00616</t>
  </si>
  <si>
    <t>PO-00617</t>
  </si>
  <si>
    <t>PO-00618</t>
  </si>
  <si>
    <t>PO-00619</t>
  </si>
  <si>
    <t>PO-00620</t>
  </si>
  <si>
    <t>PO-00621</t>
  </si>
  <si>
    <t>PO-00622</t>
  </si>
  <si>
    <t>PO-00623</t>
  </si>
  <si>
    <t>PO-00624</t>
  </si>
  <si>
    <t>PO-00625</t>
  </si>
  <si>
    <t>PO-00626</t>
  </si>
  <si>
    <t>PO-00627</t>
  </si>
  <si>
    <t>PO-00628</t>
  </si>
  <si>
    <t>PO-00629</t>
  </si>
  <si>
    <t>PO-00630</t>
  </si>
  <si>
    <t>PO-00631</t>
  </si>
  <si>
    <t>PO-00632</t>
  </si>
  <si>
    <t>PO-00633</t>
  </si>
  <si>
    <t>PO-00634</t>
  </si>
  <si>
    <t>PO-00635</t>
  </si>
  <si>
    <t>PO-00636</t>
  </si>
  <si>
    <t>PO-00637</t>
  </si>
  <si>
    <t>PO-00638</t>
  </si>
  <si>
    <t>PO-00639</t>
  </si>
  <si>
    <t>PO-00640</t>
  </si>
  <si>
    <t>PO-00641</t>
  </si>
  <si>
    <t>PO-00642</t>
  </si>
  <si>
    <t>PO-00643</t>
  </si>
  <si>
    <t>PO-00644</t>
  </si>
  <si>
    <t>PO-00645</t>
  </si>
  <si>
    <t>PO-00646</t>
  </si>
  <si>
    <t>PO-00647</t>
  </si>
  <si>
    <t>PO-00648</t>
  </si>
  <si>
    <t>PO-00649</t>
  </si>
  <si>
    <t>PO-00650</t>
  </si>
  <si>
    <t>PO-00651</t>
  </si>
  <si>
    <t>PO-00652</t>
  </si>
  <si>
    <t>PO-00653</t>
  </si>
  <si>
    <t>PO-00654</t>
  </si>
  <si>
    <t>PO-00655</t>
  </si>
  <si>
    <t>PO-00656</t>
  </si>
  <si>
    <t>PO-00657</t>
  </si>
  <si>
    <t>PO-00658</t>
  </si>
  <si>
    <t>PO-00659</t>
  </si>
  <si>
    <t>PO-00660</t>
  </si>
  <si>
    <t>PO-00661</t>
  </si>
  <si>
    <t>PO-00662</t>
  </si>
  <si>
    <t>PO-00663</t>
  </si>
  <si>
    <t>PO-00664</t>
  </si>
  <si>
    <t>PO-00665</t>
  </si>
  <si>
    <t>PO-00666</t>
  </si>
  <si>
    <t>PO-00667</t>
  </si>
  <si>
    <t>PO-00668</t>
  </si>
  <si>
    <t>PO-00669</t>
  </si>
  <si>
    <t>PO-00670</t>
  </si>
  <si>
    <t>PO-00671</t>
  </si>
  <si>
    <t>PO-00672</t>
  </si>
  <si>
    <t>PO-00673</t>
  </si>
  <si>
    <t>PO-00674</t>
  </si>
  <si>
    <t>PO-00675</t>
  </si>
  <si>
    <t>PO-00676</t>
  </si>
  <si>
    <t>PO-00677</t>
  </si>
  <si>
    <t>PO-00678</t>
  </si>
  <si>
    <t>PO-00679</t>
  </si>
  <si>
    <t>PO-00680</t>
  </si>
  <si>
    <t>PO-00681</t>
  </si>
  <si>
    <t>PO-00682</t>
  </si>
  <si>
    <t>PO-00683</t>
  </si>
  <si>
    <t>PO-00684</t>
  </si>
  <si>
    <t>PO-00685</t>
  </si>
  <si>
    <t>PO-00686</t>
  </si>
  <si>
    <t>PO-00687</t>
  </si>
  <si>
    <t>PO-00688</t>
  </si>
  <si>
    <t>PO-00689</t>
  </si>
  <si>
    <t>PO-00690</t>
  </si>
  <si>
    <t>PO-00691</t>
  </si>
  <si>
    <t>PO-00692</t>
  </si>
  <si>
    <t>PO-00693</t>
  </si>
  <si>
    <t>PO-00694</t>
  </si>
  <si>
    <t>PO-00695</t>
  </si>
  <si>
    <t>PO-00696</t>
  </si>
  <si>
    <t>PO-00697</t>
  </si>
  <si>
    <t>PO-00698</t>
  </si>
  <si>
    <t>PO-00699</t>
  </si>
  <si>
    <t>PO-00700</t>
  </si>
  <si>
    <t>PO-00701</t>
  </si>
  <si>
    <t>PO-00702</t>
  </si>
  <si>
    <t>PO-00703</t>
  </si>
  <si>
    <t>PO-00704</t>
  </si>
  <si>
    <t>PO-00705</t>
  </si>
  <si>
    <t>PO-00706</t>
  </si>
  <si>
    <t>PO-00707</t>
  </si>
  <si>
    <t>PO-00708</t>
  </si>
  <si>
    <t>PO-00709</t>
  </si>
  <si>
    <t>PO-00710</t>
  </si>
  <si>
    <t>PO-00711</t>
  </si>
  <si>
    <t>PO-00712</t>
  </si>
  <si>
    <t>PO-00713</t>
  </si>
  <si>
    <t>PO-00714</t>
  </si>
  <si>
    <t>PO-00715</t>
  </si>
  <si>
    <t>PO-00716</t>
  </si>
  <si>
    <t>PO-00717</t>
  </si>
  <si>
    <t>PO-00718</t>
  </si>
  <si>
    <t>PO-00719</t>
  </si>
  <si>
    <t>PO-00720</t>
  </si>
  <si>
    <t>PO-00721</t>
  </si>
  <si>
    <t>PO-00722</t>
  </si>
  <si>
    <t>PO-00723</t>
  </si>
  <si>
    <t>PO-00724</t>
  </si>
  <si>
    <t>PO-00725</t>
  </si>
  <si>
    <t>PO-00726</t>
  </si>
  <si>
    <t>PO-00727</t>
  </si>
  <si>
    <t>PO-00728</t>
  </si>
  <si>
    <t>PO-00729</t>
  </si>
  <si>
    <t>PO-00730</t>
  </si>
  <si>
    <t>PO-00731</t>
  </si>
  <si>
    <t>PO-00732</t>
  </si>
  <si>
    <t>PO-00733</t>
  </si>
  <si>
    <t>PO-00734</t>
  </si>
  <si>
    <t>PO-00735</t>
  </si>
  <si>
    <t>PO-00736</t>
  </si>
  <si>
    <t>PO-00737</t>
  </si>
  <si>
    <t>PO-00738</t>
  </si>
  <si>
    <t>PO-00739</t>
  </si>
  <si>
    <t>PO-00740</t>
  </si>
  <si>
    <t>PO-00741</t>
  </si>
  <si>
    <t>PO-00742</t>
  </si>
  <si>
    <t>PO-00743</t>
  </si>
  <si>
    <t>PO-00744</t>
  </si>
  <si>
    <t>PO-00745</t>
  </si>
  <si>
    <t>PO-00746</t>
  </si>
  <si>
    <t>PO-00747</t>
  </si>
  <si>
    <t>PO-00748</t>
  </si>
  <si>
    <t>PO-00749</t>
  </si>
  <si>
    <t>PO-00750</t>
  </si>
  <si>
    <t>PO-00751</t>
  </si>
  <si>
    <t>PO-00752</t>
  </si>
  <si>
    <t>PO-00753</t>
  </si>
  <si>
    <t>PO-00754</t>
  </si>
  <si>
    <t>PO-00755</t>
  </si>
  <si>
    <t>PO-00756</t>
  </si>
  <si>
    <t>PO-00757</t>
  </si>
  <si>
    <t>PO-00758</t>
  </si>
  <si>
    <t>PO-00759</t>
  </si>
  <si>
    <t>PO-00760</t>
  </si>
  <si>
    <t>PO-00761</t>
  </si>
  <si>
    <t>PO-00762</t>
  </si>
  <si>
    <t>PO-00763</t>
  </si>
  <si>
    <t>PO-00764</t>
  </si>
  <si>
    <t>PO-00765</t>
  </si>
  <si>
    <t>PO-00766</t>
  </si>
  <si>
    <t>PO-00767</t>
  </si>
  <si>
    <t>PO-00768</t>
  </si>
  <si>
    <t>PO-00769</t>
  </si>
  <si>
    <t>PO-00770</t>
  </si>
  <si>
    <t>PO-00771</t>
  </si>
  <si>
    <t>PO-00772</t>
  </si>
  <si>
    <t>PO-00773</t>
  </si>
  <si>
    <t>PO-00774</t>
  </si>
  <si>
    <t>PO-00775</t>
  </si>
  <si>
    <t>PO-00776</t>
  </si>
  <si>
    <t>PO-00777</t>
  </si>
  <si>
    <t>Row Labels</t>
  </si>
  <si>
    <t>Grand Total</t>
  </si>
  <si>
    <t>Sum of Actual_Spend</t>
  </si>
  <si>
    <t>Count of Order_Status</t>
  </si>
  <si>
    <t>(Multiple Items)</t>
  </si>
  <si>
    <t>Worst Supplier Spend</t>
  </si>
  <si>
    <t>Estimated Savings</t>
  </si>
  <si>
    <t>Saving Pct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</si>
</sst>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"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ric Terrell" refreshedDate="46237.795179513887" createdVersion="8" refreshedVersion="8" minRefreshableVersion="3" recordCount="777" xr:uid="{F1724707-6EAB-4DC5-9B47-11B9A4F0D07F}">
  <cacheSource type="worksheet">
    <worksheetSource ref="A1:L778" sheet="Procurement KPI Analysis Datase"/>
  </cacheSource>
  <cacheFields count="12">
    <cacheField name="PO_ID" numFmtId="0">
      <sharedItems/>
    </cacheField>
    <cacheField name="Supplier" numFmtId="0">
      <sharedItems count="5">
        <s v="Alpha_Inc"/>
        <s v="Delta_Logistics"/>
        <s v="Gamma_Co"/>
        <s v="Epsilon_Group"/>
        <s v="Beta_Supplies"/>
      </sharedItems>
    </cacheField>
    <cacheField name="Order_Date" numFmtId="14">
      <sharedItems containsSemiMixedTypes="0" containsNonDate="0" containsDate="1" containsString="0" minDate="2022-01-01T00:00:00" maxDate="2024-01-02T00:00:00"/>
    </cacheField>
    <cacheField name="Delivery_Date" numFmtId="0">
      <sharedItems containsNonDate="0" containsDate="1" containsString="0" containsBlank="1" minDate="2022-01-06T00:00:00" maxDate="2024-01-13T00:00:00"/>
    </cacheField>
    <cacheField name="Item_Category" numFmtId="0">
      <sharedItems/>
    </cacheField>
    <cacheField name="Order_Status" numFmtId="0">
      <sharedItems count="4">
        <s v="Cancelled"/>
        <s v="Delivered"/>
        <s v="Partially Delivered"/>
        <s v="Pending"/>
      </sharedItems>
    </cacheField>
    <cacheField name="Quantity" numFmtId="0">
      <sharedItems containsSemiMixedTypes="0" containsString="0" containsNumber="1" containsInteger="1" minValue="51" maxValue="5000"/>
    </cacheField>
    <cacheField name="Unit_Price" numFmtId="44">
      <sharedItems containsSemiMixedTypes="0" containsString="0" containsNumber="1" minValue="10.84" maxValue="109.17"/>
    </cacheField>
    <cacheField name="Negotiated_Price" numFmtId="0">
      <sharedItems containsSemiMixedTypes="0" containsString="0" containsNumber="1" minValue="9.27" maxValue="107.39"/>
    </cacheField>
    <cacheField name="Defective_Units" numFmtId="0">
      <sharedItems containsString="0" containsBlank="1" containsNumber="1" containsInteger="1" minValue="0" maxValue="321"/>
    </cacheField>
    <cacheField name="Compliance" numFmtId="0">
      <sharedItems/>
    </cacheField>
    <cacheField name="Actual_Spend" numFmtId="44">
      <sharedItems containsSemiMixedTypes="0" containsString="0" containsNumber="1" minValue="772.8" maxValue="432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7">
  <r>
    <s v="PO-00001"/>
    <x v="0"/>
    <d v="2023-10-17T00:00:00"/>
    <d v="2023-10-25T00:00:00"/>
    <s v="Office Supplies"/>
    <x v="0"/>
    <n v="1176"/>
    <n v="20.13"/>
    <n v="17.809999999999999"/>
    <m/>
    <s v="Yes"/>
    <n v="20944.559999999998"/>
  </r>
  <r>
    <s v="PO-00002"/>
    <x v="1"/>
    <d v="2022-04-25T00:00:00"/>
    <d v="2022-05-05T00:00:00"/>
    <s v="Office Supplies"/>
    <x v="1"/>
    <n v="1509"/>
    <n v="39.32"/>
    <n v="37.340000000000003"/>
    <n v="235"/>
    <s v="Yes"/>
    <n v="56346.060000000005"/>
  </r>
  <r>
    <s v="PO-00003"/>
    <x v="2"/>
    <d v="2022-01-26T00:00:00"/>
    <d v="2022-02-15T00:00:00"/>
    <s v="MRO"/>
    <x v="1"/>
    <n v="910"/>
    <n v="95.51"/>
    <n v="92.26"/>
    <n v="41"/>
    <s v="Yes"/>
    <n v="83956.6"/>
  </r>
  <r>
    <s v="PO-00004"/>
    <x v="3"/>
    <d v="2022-10-09T00:00:00"/>
    <d v="2022-10-28T00:00:00"/>
    <s v="Packaging"/>
    <x v="1"/>
    <n v="1344"/>
    <n v="99.85"/>
    <n v="95.52"/>
    <n v="112"/>
    <s v="Yes"/>
    <n v="128378.87999999999"/>
  </r>
  <r>
    <s v="PO-00005"/>
    <x v="1"/>
    <d v="2022-09-08T00:00:00"/>
    <d v="2022-09-20T00:00:00"/>
    <s v="Raw Materials"/>
    <x v="1"/>
    <n v="1180"/>
    <n v="64.069999999999993"/>
    <n v="60.53"/>
    <n v="171"/>
    <s v="No"/>
    <n v="71425.399999999994"/>
  </r>
  <r>
    <s v="PO-00006"/>
    <x v="3"/>
    <d v="2022-08-17T00:00:00"/>
    <d v="2022-08-29T00:00:00"/>
    <s v="MRO"/>
    <x v="1"/>
    <n v="1145"/>
    <n v="69.209999999999994"/>
    <n v="63.57"/>
    <n v="39"/>
    <s v="Yes"/>
    <n v="72787.649999999994"/>
  </r>
  <r>
    <s v="PO-00007"/>
    <x v="2"/>
    <d v="2022-05-23T00:00:00"/>
    <d v="2022-06-03T00:00:00"/>
    <s v="MRO"/>
    <x v="1"/>
    <n v="1774"/>
    <n v="51.37"/>
    <n v="47.82"/>
    <n v="96"/>
    <s v="No"/>
    <n v="84832.680000000008"/>
  </r>
  <r>
    <s v="PO-00008"/>
    <x v="0"/>
    <d v="2022-04-15T00:00:00"/>
    <d v="2022-04-29T00:00:00"/>
    <s v="MRO"/>
    <x v="1"/>
    <n v="1094"/>
    <n v="36.93"/>
    <n v="32.78"/>
    <n v="22"/>
    <s v="Yes"/>
    <n v="35861.32"/>
  </r>
  <r>
    <s v="PO-00009"/>
    <x v="2"/>
    <d v="2023-11-24T00:00:00"/>
    <d v="2023-11-28T00:00:00"/>
    <s v="Raw Materials"/>
    <x v="2"/>
    <n v="1688"/>
    <n v="43.93"/>
    <n v="39.89"/>
    <n v="89"/>
    <s v="Yes"/>
    <n v="67334.320000000007"/>
  </r>
  <r>
    <s v="PO-00010"/>
    <x v="2"/>
    <d v="2023-07-13T00:00:00"/>
    <d v="2023-07-25T00:00:00"/>
    <s v="Raw Materials"/>
    <x v="3"/>
    <n v="171"/>
    <n v="76.87"/>
    <n v="70.2"/>
    <n v="8"/>
    <s v="Yes"/>
    <n v="12004.2"/>
  </r>
  <r>
    <s v="PO-00011"/>
    <x v="3"/>
    <d v="2022-03-31T00:00:00"/>
    <d v="2022-04-15T00:00:00"/>
    <s v="Raw Materials"/>
    <x v="1"/>
    <n v="5000"/>
    <n v="78.489999999999995"/>
    <n v="73.680000000000007"/>
    <n v="18"/>
    <s v="Yes"/>
    <n v="368400.00000000006"/>
  </r>
  <r>
    <s v="PO-00012"/>
    <x v="4"/>
    <d v="2023-08-28T00:00:00"/>
    <d v="2023-09-11T00:00:00"/>
    <s v="Raw Materials"/>
    <x v="1"/>
    <n v="5000"/>
    <n v="88.96"/>
    <n v="86.58"/>
    <n v="115"/>
    <s v="Yes"/>
    <n v="432900"/>
  </r>
  <r>
    <s v="PO-00013"/>
    <x v="4"/>
    <d v="2023-03-09T00:00:00"/>
    <d v="2023-03-26T00:00:00"/>
    <s v="Electronics"/>
    <x v="3"/>
    <n v="5000"/>
    <n v="86.74"/>
    <n v="74.86"/>
    <n v="51"/>
    <s v="Yes"/>
    <n v="374300"/>
  </r>
  <r>
    <s v="PO-00014"/>
    <x v="4"/>
    <d v="2022-02-02T00:00:00"/>
    <m/>
    <s v="MRO"/>
    <x v="1"/>
    <n v="5000"/>
    <n v="18.3"/>
    <n v="16.88"/>
    <m/>
    <s v="Yes"/>
    <n v="84400"/>
  </r>
  <r>
    <s v="PO-00015"/>
    <x v="1"/>
    <d v="2022-01-31T00:00:00"/>
    <d v="2022-02-18T00:00:00"/>
    <s v="Electronics"/>
    <x v="3"/>
    <n v="5000"/>
    <n v="54.5"/>
    <n v="48.45"/>
    <n v="22"/>
    <s v="Yes"/>
    <n v="242250"/>
  </r>
  <r>
    <s v="PO-00016"/>
    <x v="4"/>
    <d v="2022-04-06T00:00:00"/>
    <d v="2022-04-21T00:00:00"/>
    <s v="Packaging"/>
    <x v="1"/>
    <n v="5000"/>
    <n v="15.41"/>
    <n v="15.12"/>
    <m/>
    <s v="Yes"/>
    <n v="75600"/>
  </r>
  <r>
    <s v="PO-00017"/>
    <x v="1"/>
    <d v="2022-08-12T00:00:00"/>
    <d v="2022-08-31T00:00:00"/>
    <s v="MRO"/>
    <x v="1"/>
    <n v="1173"/>
    <n v="61.54"/>
    <n v="55.49"/>
    <n v="172"/>
    <s v="No"/>
    <n v="65089.770000000004"/>
  </r>
  <r>
    <s v="PO-00018"/>
    <x v="3"/>
    <d v="2022-08-27T00:00:00"/>
    <d v="2022-09-04T00:00:00"/>
    <s v="Raw Materials"/>
    <x v="1"/>
    <n v="921"/>
    <n v="51.48"/>
    <n v="50.61"/>
    <m/>
    <s v="Yes"/>
    <n v="46611.81"/>
  </r>
  <r>
    <s v="PO-00019"/>
    <x v="2"/>
    <d v="2023-06-02T00:00:00"/>
    <d v="2023-06-05T00:00:00"/>
    <s v="Raw Materials"/>
    <x v="2"/>
    <n v="1737"/>
    <n v="97.53"/>
    <n v="87.37"/>
    <n v="79"/>
    <s v="Yes"/>
    <n v="151761.69"/>
  </r>
  <r>
    <s v="PO-00020"/>
    <x v="1"/>
    <d v="2023-09-09T00:00:00"/>
    <d v="2023-09-24T00:00:00"/>
    <s v="Raw Materials"/>
    <x v="1"/>
    <n v="180"/>
    <n v="45.74"/>
    <n v="38.89"/>
    <m/>
    <s v="No"/>
    <n v="7000.2"/>
  </r>
  <r>
    <s v="PO-00021"/>
    <x v="3"/>
    <d v="2022-01-28T00:00:00"/>
    <d v="2022-02-12T00:00:00"/>
    <s v="Electronics"/>
    <x v="0"/>
    <n v="1735"/>
    <n v="20.54"/>
    <n v="19.690000000000001"/>
    <n v="49"/>
    <s v="Yes"/>
    <n v="34162.15"/>
  </r>
  <r>
    <s v="PO-00022"/>
    <x v="1"/>
    <d v="2023-07-29T00:00:00"/>
    <d v="2023-08-11T00:00:00"/>
    <s v="Raw Materials"/>
    <x v="1"/>
    <n v="1382"/>
    <n v="24.93"/>
    <n v="23.75"/>
    <m/>
    <s v="Yes"/>
    <n v="32822.5"/>
  </r>
  <r>
    <s v="PO-00023"/>
    <x v="3"/>
    <d v="2022-07-23T00:00:00"/>
    <d v="2022-08-08T00:00:00"/>
    <s v="MRO"/>
    <x v="1"/>
    <n v="819"/>
    <n v="80.89"/>
    <n v="77.03"/>
    <n v="29"/>
    <s v="Yes"/>
    <n v="63087.57"/>
  </r>
  <r>
    <s v="PO-00024"/>
    <x v="4"/>
    <d v="2023-10-28T00:00:00"/>
    <d v="2023-11-03T00:00:00"/>
    <s v="Office Supplies"/>
    <x v="2"/>
    <n v="393"/>
    <n v="72.53"/>
    <n v="66.31"/>
    <n v="42"/>
    <s v="No"/>
    <n v="26059.83"/>
  </r>
  <r>
    <s v="PO-00025"/>
    <x v="4"/>
    <d v="2023-12-20T00:00:00"/>
    <d v="2024-01-01T00:00:00"/>
    <s v="MRO"/>
    <x v="1"/>
    <n v="1565"/>
    <n v="21.3"/>
    <n v="20.09"/>
    <n v="161"/>
    <s v="Yes"/>
    <n v="31440.85"/>
  </r>
  <r>
    <s v="PO-00026"/>
    <x v="3"/>
    <d v="2023-07-13T00:00:00"/>
    <d v="2023-07-24T00:00:00"/>
    <s v="Packaging"/>
    <x v="1"/>
    <n v="1487"/>
    <n v="19.149999999999999"/>
    <n v="17.239999999999998"/>
    <m/>
    <s v="Yes"/>
    <n v="25635.879999999997"/>
  </r>
  <r>
    <s v="PO-00027"/>
    <x v="0"/>
    <d v="2023-03-06T00:00:00"/>
    <d v="2023-03-26T00:00:00"/>
    <s v="MRO"/>
    <x v="1"/>
    <n v="855"/>
    <n v="78.2"/>
    <n v="67.16"/>
    <n v="17"/>
    <s v="Yes"/>
    <n v="57421.799999999996"/>
  </r>
  <r>
    <s v="PO-00028"/>
    <x v="3"/>
    <d v="2022-08-14T00:00:00"/>
    <d v="2022-08-23T00:00:00"/>
    <s v="Raw Materials"/>
    <x v="1"/>
    <n v="435"/>
    <n v="17.13"/>
    <n v="15.84"/>
    <n v="8"/>
    <s v="Yes"/>
    <n v="6890.4"/>
  </r>
  <r>
    <s v="PO-00029"/>
    <x v="1"/>
    <d v="2023-04-05T00:00:00"/>
    <d v="2023-04-22T00:00:00"/>
    <s v="MRO"/>
    <x v="1"/>
    <n v="1265"/>
    <n v="90.26"/>
    <n v="79.47"/>
    <n v="187"/>
    <s v="Yes"/>
    <n v="100529.55"/>
  </r>
  <r>
    <s v="PO-00030"/>
    <x v="3"/>
    <d v="2023-08-27T00:00:00"/>
    <m/>
    <s v="MRO"/>
    <x v="1"/>
    <n v="1005"/>
    <n v="80.55"/>
    <n v="73.31"/>
    <n v="30"/>
    <s v="Yes"/>
    <n v="73676.55"/>
  </r>
  <r>
    <s v="PO-00031"/>
    <x v="2"/>
    <d v="2022-10-12T00:00:00"/>
    <d v="2022-10-26T00:00:00"/>
    <s v="Electronics"/>
    <x v="1"/>
    <n v="326"/>
    <n v="18.100000000000001"/>
    <n v="15.92"/>
    <m/>
    <s v="No"/>
    <n v="5189.92"/>
  </r>
  <r>
    <s v="PO-00032"/>
    <x v="0"/>
    <d v="2022-01-07T00:00:00"/>
    <d v="2022-01-15T00:00:00"/>
    <s v="Office Supplies"/>
    <x v="1"/>
    <n v="1234"/>
    <n v="17.64"/>
    <n v="15.66"/>
    <n v="26"/>
    <s v="Yes"/>
    <n v="19324.439999999999"/>
  </r>
  <r>
    <s v="PO-00033"/>
    <x v="3"/>
    <d v="2022-06-13T00:00:00"/>
    <d v="2022-06-29T00:00:00"/>
    <s v="MRO"/>
    <x v="1"/>
    <n v="509"/>
    <n v="101.27"/>
    <n v="97.82"/>
    <n v="19"/>
    <s v="Yes"/>
    <n v="49790.38"/>
  </r>
  <r>
    <s v="PO-00034"/>
    <x v="0"/>
    <d v="2023-12-16T00:00:00"/>
    <d v="2023-12-17T00:00:00"/>
    <s v="Packaging"/>
    <x v="1"/>
    <n v="1387"/>
    <n v="48.71"/>
    <n v="43.71"/>
    <n v="27"/>
    <s v="Yes"/>
    <n v="60625.770000000004"/>
  </r>
  <r>
    <s v="PO-00035"/>
    <x v="0"/>
    <d v="2023-03-09T00:00:00"/>
    <d v="2023-03-17T00:00:00"/>
    <s v="MRO"/>
    <x v="1"/>
    <n v="71"/>
    <n v="46.39"/>
    <n v="43.18"/>
    <n v="0"/>
    <s v="Yes"/>
    <n v="3065.78"/>
  </r>
  <r>
    <s v="PO-00036"/>
    <x v="3"/>
    <d v="2022-12-15T00:00:00"/>
    <d v="2022-12-23T00:00:00"/>
    <s v="Office Supplies"/>
    <x v="1"/>
    <n v="302"/>
    <n v="87.73"/>
    <n v="81.52"/>
    <n v="9"/>
    <s v="Yes"/>
    <n v="24619.039999999997"/>
  </r>
  <r>
    <s v="PO-00037"/>
    <x v="3"/>
    <d v="2022-10-12T00:00:00"/>
    <d v="2022-10-31T00:00:00"/>
    <s v="Office Supplies"/>
    <x v="3"/>
    <n v="797"/>
    <n v="99.54"/>
    <n v="91.37"/>
    <n v="18"/>
    <s v="Yes"/>
    <n v="72821.89"/>
  </r>
  <r>
    <s v="PO-00038"/>
    <x v="4"/>
    <d v="2022-06-09T00:00:00"/>
    <d v="2022-06-27T00:00:00"/>
    <s v="Office Supplies"/>
    <x v="3"/>
    <n v="906"/>
    <n v="101.21"/>
    <n v="90.9"/>
    <n v="94"/>
    <s v="Yes"/>
    <n v="82355.400000000009"/>
  </r>
  <r>
    <s v="PO-00039"/>
    <x v="3"/>
    <d v="2022-08-09T00:00:00"/>
    <d v="2022-08-23T00:00:00"/>
    <s v="Office Supplies"/>
    <x v="1"/>
    <n v="1634"/>
    <n v="80.53"/>
    <n v="76.150000000000006"/>
    <n v="50"/>
    <s v="Yes"/>
    <n v="124429.1"/>
  </r>
  <r>
    <s v="PO-00040"/>
    <x v="3"/>
    <d v="2022-12-11T00:00:00"/>
    <m/>
    <s v="Office Supplies"/>
    <x v="1"/>
    <n v="524"/>
    <n v="46.28"/>
    <n v="39.65"/>
    <n v="14"/>
    <s v="Yes"/>
    <n v="20776.599999999999"/>
  </r>
  <r>
    <s v="PO-00041"/>
    <x v="4"/>
    <d v="2022-04-15T00:00:00"/>
    <d v="2022-04-27T00:00:00"/>
    <s v="Electronics"/>
    <x v="1"/>
    <n v="1132"/>
    <n v="17.78"/>
    <n v="15.36"/>
    <n v="96"/>
    <s v="Yes"/>
    <n v="17387.52"/>
  </r>
  <r>
    <s v="PO-00042"/>
    <x v="4"/>
    <d v="2022-04-05T00:00:00"/>
    <d v="2022-04-14T00:00:00"/>
    <s v="Office Supplies"/>
    <x v="1"/>
    <n v="560"/>
    <n v="81.14"/>
    <n v="77.87"/>
    <n v="34"/>
    <s v="No"/>
    <n v="43607.200000000004"/>
  </r>
  <r>
    <s v="PO-00043"/>
    <x v="2"/>
    <d v="2023-01-25T00:00:00"/>
    <d v="2023-02-02T00:00:00"/>
    <s v="Electronics"/>
    <x v="1"/>
    <n v="1755"/>
    <n v="63.87"/>
    <n v="58.4"/>
    <n v="85"/>
    <s v="Yes"/>
    <n v="102492"/>
  </r>
  <r>
    <s v="PO-00044"/>
    <x v="3"/>
    <d v="2022-04-10T00:00:00"/>
    <d v="2022-04-17T00:00:00"/>
    <s v="MRO"/>
    <x v="1"/>
    <n v="1549"/>
    <n v="48.9"/>
    <n v="42.42"/>
    <n v="48"/>
    <s v="Yes"/>
    <n v="65708.58"/>
  </r>
  <r>
    <s v="PO-00045"/>
    <x v="1"/>
    <d v="2023-01-03T00:00:00"/>
    <d v="2023-01-21T00:00:00"/>
    <s v="MRO"/>
    <x v="1"/>
    <n v="749"/>
    <n v="97.07"/>
    <n v="94.16"/>
    <n v="123"/>
    <s v="Yes"/>
    <n v="70525.84"/>
  </r>
  <r>
    <s v="PO-00046"/>
    <x v="0"/>
    <d v="2022-12-19T00:00:00"/>
    <m/>
    <s v="Electronics"/>
    <x v="1"/>
    <n v="1025"/>
    <n v="21.11"/>
    <n v="19.25"/>
    <n v="15"/>
    <s v="Yes"/>
    <n v="19731.25"/>
  </r>
  <r>
    <s v="PO-00047"/>
    <x v="4"/>
    <d v="2023-09-11T00:00:00"/>
    <d v="2023-09-18T00:00:00"/>
    <s v="Raw Materials"/>
    <x v="1"/>
    <n v="1856"/>
    <n v="59.77"/>
    <n v="50.81"/>
    <n v="191"/>
    <s v="Yes"/>
    <n v="94303.360000000001"/>
  </r>
  <r>
    <s v="PO-00048"/>
    <x v="3"/>
    <d v="2022-09-28T00:00:00"/>
    <d v="2022-10-14T00:00:00"/>
    <s v="Office Supplies"/>
    <x v="1"/>
    <n v="239"/>
    <n v="11.46"/>
    <n v="11.28"/>
    <n v="4"/>
    <s v="Yes"/>
    <n v="2695.92"/>
  </r>
  <r>
    <s v="PO-00049"/>
    <x v="1"/>
    <d v="2022-02-14T00:00:00"/>
    <d v="2022-03-05T00:00:00"/>
    <s v="Office Supplies"/>
    <x v="3"/>
    <n v="1007"/>
    <n v="52.44"/>
    <n v="46.06"/>
    <n v="167"/>
    <s v="Yes"/>
    <n v="46382.420000000006"/>
  </r>
  <r>
    <s v="PO-00050"/>
    <x v="0"/>
    <d v="2023-04-16T00:00:00"/>
    <m/>
    <s v="MRO"/>
    <x v="3"/>
    <n v="736"/>
    <n v="16.2"/>
    <n v="15.33"/>
    <n v="18"/>
    <s v="Yes"/>
    <n v="11282.88"/>
  </r>
  <r>
    <s v="PO-00051"/>
    <x v="3"/>
    <d v="2023-07-04T00:00:00"/>
    <d v="2023-07-14T00:00:00"/>
    <s v="Electronics"/>
    <x v="1"/>
    <n v="1007"/>
    <n v="22.56"/>
    <n v="19.59"/>
    <m/>
    <s v="Yes"/>
    <n v="19727.13"/>
  </r>
  <r>
    <s v="PO-00052"/>
    <x v="1"/>
    <d v="2022-05-08T00:00:00"/>
    <m/>
    <s v="Office Supplies"/>
    <x v="1"/>
    <n v="612"/>
    <n v="20.99"/>
    <n v="19.75"/>
    <n v="102"/>
    <s v="Yes"/>
    <n v="12087"/>
  </r>
  <r>
    <s v="PO-00053"/>
    <x v="0"/>
    <d v="2023-01-23T00:00:00"/>
    <d v="2023-02-02T00:00:00"/>
    <s v="MRO"/>
    <x v="3"/>
    <n v="1949"/>
    <n v="72.53"/>
    <n v="63.26"/>
    <n v="48"/>
    <s v="No"/>
    <n v="123293.73999999999"/>
  </r>
  <r>
    <s v="PO-00054"/>
    <x v="1"/>
    <d v="2022-03-22T00:00:00"/>
    <d v="2022-03-28T00:00:00"/>
    <s v="Office Supplies"/>
    <x v="0"/>
    <n v="1640"/>
    <n v="77.92"/>
    <n v="76.41"/>
    <n v="262"/>
    <s v="No"/>
    <n v="125312.4"/>
  </r>
  <r>
    <s v="PO-00055"/>
    <x v="4"/>
    <d v="2023-07-20T00:00:00"/>
    <d v="2023-08-07T00:00:00"/>
    <s v="Electronics"/>
    <x v="1"/>
    <n v="1317"/>
    <n v="68.13"/>
    <n v="60.52"/>
    <n v="136"/>
    <s v="Yes"/>
    <n v="79704.840000000011"/>
  </r>
  <r>
    <s v="PO-00056"/>
    <x v="3"/>
    <d v="2022-10-28T00:00:00"/>
    <d v="2022-10-30T00:00:00"/>
    <s v="Raw Materials"/>
    <x v="1"/>
    <n v="881"/>
    <n v="100.94"/>
    <n v="95.05"/>
    <n v="30"/>
    <s v="Yes"/>
    <n v="83739.05"/>
  </r>
  <r>
    <s v="PO-00057"/>
    <x v="1"/>
    <d v="2023-10-06T00:00:00"/>
    <m/>
    <s v="Packaging"/>
    <x v="1"/>
    <n v="1578"/>
    <n v="48.33"/>
    <n v="42.77"/>
    <n v="206"/>
    <s v="Yes"/>
    <n v="67491.06"/>
  </r>
  <r>
    <s v="PO-00058"/>
    <x v="1"/>
    <d v="2023-09-26T00:00:00"/>
    <d v="2023-10-01T00:00:00"/>
    <s v="MRO"/>
    <x v="1"/>
    <n v="1204"/>
    <n v="39.29"/>
    <n v="35.44"/>
    <m/>
    <s v="Yes"/>
    <n v="42669.759999999995"/>
  </r>
  <r>
    <s v="PO-00059"/>
    <x v="3"/>
    <d v="2023-01-06T00:00:00"/>
    <d v="2023-01-22T00:00:00"/>
    <s v="MRO"/>
    <x v="3"/>
    <n v="1558"/>
    <n v="93.46"/>
    <n v="91.27"/>
    <n v="39"/>
    <s v="Yes"/>
    <n v="142198.66"/>
  </r>
  <r>
    <s v="PO-00060"/>
    <x v="0"/>
    <d v="2023-08-15T00:00:00"/>
    <d v="2023-08-16T00:00:00"/>
    <s v="Packaging"/>
    <x v="1"/>
    <n v="1892"/>
    <n v="32.99"/>
    <n v="28.81"/>
    <n v="35"/>
    <s v="Yes"/>
    <n v="54508.52"/>
  </r>
  <r>
    <s v="PO-00061"/>
    <x v="3"/>
    <d v="2022-07-16T00:00:00"/>
    <d v="2022-08-01T00:00:00"/>
    <s v="Packaging"/>
    <x v="1"/>
    <n v="696"/>
    <n v="99.59"/>
    <n v="90.18"/>
    <n v="25"/>
    <s v="Yes"/>
    <n v="62765.280000000006"/>
  </r>
  <r>
    <s v="PO-00062"/>
    <x v="1"/>
    <d v="2023-12-23T00:00:00"/>
    <d v="2024-01-03T00:00:00"/>
    <s v="MRO"/>
    <x v="2"/>
    <n v="70"/>
    <n v="12.37"/>
    <n v="11.04"/>
    <n v="10"/>
    <s v="Yes"/>
    <n v="772.8"/>
  </r>
  <r>
    <s v="PO-00063"/>
    <x v="2"/>
    <d v="2022-03-13T00:00:00"/>
    <d v="2022-03-15T00:00:00"/>
    <s v="Raw Materials"/>
    <x v="1"/>
    <n v="890"/>
    <n v="98.26"/>
    <n v="93.14"/>
    <n v="49"/>
    <s v="Yes"/>
    <n v="82894.600000000006"/>
  </r>
  <r>
    <s v="PO-00064"/>
    <x v="0"/>
    <d v="2022-02-16T00:00:00"/>
    <d v="2022-03-04T00:00:00"/>
    <s v="MRO"/>
    <x v="1"/>
    <n v="216"/>
    <n v="13.95"/>
    <n v="12.31"/>
    <n v="5"/>
    <s v="Yes"/>
    <n v="2658.96"/>
  </r>
  <r>
    <s v="PO-00065"/>
    <x v="1"/>
    <d v="2023-11-09T00:00:00"/>
    <d v="2023-11-12T00:00:00"/>
    <s v="Packaging"/>
    <x v="1"/>
    <n v="1347"/>
    <n v="100.13"/>
    <n v="94.3"/>
    <n v="200"/>
    <s v="Yes"/>
    <n v="127022.09999999999"/>
  </r>
  <r>
    <s v="PO-00066"/>
    <x v="2"/>
    <d v="2022-08-22T00:00:00"/>
    <d v="2022-08-25T00:00:00"/>
    <s v="Office Supplies"/>
    <x v="2"/>
    <n v="437"/>
    <n v="59.51"/>
    <n v="56.45"/>
    <n v="25"/>
    <s v="No"/>
    <n v="24668.65"/>
  </r>
  <r>
    <s v="PO-00067"/>
    <x v="0"/>
    <d v="2022-10-24T00:00:00"/>
    <d v="2022-10-26T00:00:00"/>
    <s v="Electronics"/>
    <x v="1"/>
    <n v="650"/>
    <n v="103.84"/>
    <n v="88.28"/>
    <n v="12"/>
    <s v="Yes"/>
    <n v="57382"/>
  </r>
  <r>
    <s v="PO-00068"/>
    <x v="4"/>
    <d v="2022-03-23T00:00:00"/>
    <d v="2022-04-11T00:00:00"/>
    <s v="Office Supplies"/>
    <x v="1"/>
    <n v="365"/>
    <n v="16.809999999999999"/>
    <n v="15.41"/>
    <n v="38"/>
    <s v="Yes"/>
    <n v="5624.65"/>
  </r>
  <r>
    <s v="PO-00069"/>
    <x v="3"/>
    <d v="2022-08-27T00:00:00"/>
    <m/>
    <s v="Raw Materials"/>
    <x v="0"/>
    <n v="63"/>
    <n v="61.94"/>
    <n v="53.8"/>
    <m/>
    <s v="Yes"/>
    <n v="3389.3999999999996"/>
  </r>
  <r>
    <s v="PO-00070"/>
    <x v="0"/>
    <d v="2022-04-14T00:00:00"/>
    <d v="2022-04-22T00:00:00"/>
    <s v="MRO"/>
    <x v="1"/>
    <n v="291"/>
    <n v="98.7"/>
    <n v="87.02"/>
    <n v="9"/>
    <s v="Yes"/>
    <n v="25322.82"/>
  </r>
  <r>
    <s v="PO-00071"/>
    <x v="0"/>
    <d v="2023-01-25T00:00:00"/>
    <d v="2023-02-08T00:00:00"/>
    <s v="MRO"/>
    <x v="0"/>
    <n v="826"/>
    <n v="60.5"/>
    <n v="57.18"/>
    <n v="18"/>
    <s v="Yes"/>
    <n v="47230.68"/>
  </r>
  <r>
    <s v="PO-00072"/>
    <x v="1"/>
    <d v="2022-10-12T00:00:00"/>
    <d v="2022-11-01T00:00:00"/>
    <s v="Electronics"/>
    <x v="3"/>
    <n v="1419"/>
    <n v="69.64"/>
    <n v="59.28"/>
    <n v="194"/>
    <s v="Yes"/>
    <n v="84118.32"/>
  </r>
  <r>
    <s v="PO-00073"/>
    <x v="2"/>
    <d v="2023-04-10T00:00:00"/>
    <d v="2023-04-27T00:00:00"/>
    <s v="Office Supplies"/>
    <x v="1"/>
    <n v="614"/>
    <n v="78.06"/>
    <n v="73.95"/>
    <n v="40"/>
    <s v="Yes"/>
    <n v="45405.3"/>
  </r>
  <r>
    <s v="PO-00074"/>
    <x v="0"/>
    <d v="2023-10-13T00:00:00"/>
    <d v="2023-10-28T00:00:00"/>
    <s v="Electronics"/>
    <x v="1"/>
    <n v="947"/>
    <n v="56.25"/>
    <n v="54.25"/>
    <n v="19"/>
    <s v="Yes"/>
    <n v="51374.75"/>
  </r>
  <r>
    <s v="PO-00075"/>
    <x v="3"/>
    <d v="2023-01-09T00:00:00"/>
    <d v="2023-01-28T00:00:00"/>
    <s v="Raw Materials"/>
    <x v="1"/>
    <n v="1413"/>
    <n v="70.47"/>
    <n v="69.650000000000006"/>
    <m/>
    <s v="Yes"/>
    <n v="98415.450000000012"/>
  </r>
  <r>
    <s v="PO-00076"/>
    <x v="0"/>
    <d v="2022-06-16T00:00:00"/>
    <m/>
    <s v="Office Supplies"/>
    <x v="2"/>
    <n v="141"/>
    <n v="64.150000000000006"/>
    <n v="58.32"/>
    <m/>
    <s v="Yes"/>
    <n v="8223.1200000000008"/>
  </r>
  <r>
    <s v="PO-00077"/>
    <x v="0"/>
    <d v="2023-01-15T00:00:00"/>
    <d v="2023-02-04T00:00:00"/>
    <s v="Office Supplies"/>
    <x v="1"/>
    <n v="1440"/>
    <n v="96.57"/>
    <n v="83.87"/>
    <n v="36"/>
    <s v="Yes"/>
    <n v="120772.8"/>
  </r>
  <r>
    <s v="PO-00078"/>
    <x v="1"/>
    <d v="2022-12-30T00:00:00"/>
    <d v="2023-01-03T00:00:00"/>
    <s v="Raw Materials"/>
    <x v="1"/>
    <n v="1005"/>
    <n v="14.87"/>
    <n v="12.79"/>
    <m/>
    <s v="No"/>
    <n v="12853.949999999999"/>
  </r>
  <r>
    <s v="PO-00079"/>
    <x v="0"/>
    <d v="2022-08-03T00:00:00"/>
    <m/>
    <s v="MRO"/>
    <x v="1"/>
    <n v="1528"/>
    <n v="36.520000000000003"/>
    <n v="33"/>
    <n v="31"/>
    <s v="No"/>
    <n v="50424"/>
  </r>
  <r>
    <s v="PO-00080"/>
    <x v="2"/>
    <d v="2023-11-18T00:00:00"/>
    <d v="2023-11-25T00:00:00"/>
    <s v="MRO"/>
    <x v="1"/>
    <n v="1501"/>
    <n v="106.05"/>
    <n v="100.99"/>
    <n v="77"/>
    <s v="No"/>
    <n v="151585.99"/>
  </r>
  <r>
    <s v="PO-00081"/>
    <x v="1"/>
    <d v="2022-10-01T00:00:00"/>
    <d v="2022-10-04T00:00:00"/>
    <s v="Packaging"/>
    <x v="1"/>
    <n v="558"/>
    <n v="94.18"/>
    <n v="81.400000000000006"/>
    <m/>
    <s v="No"/>
    <n v="45421.200000000004"/>
  </r>
  <r>
    <s v="PO-00082"/>
    <x v="4"/>
    <d v="2023-12-20T00:00:00"/>
    <d v="2023-12-26T00:00:00"/>
    <s v="MRO"/>
    <x v="1"/>
    <n v="825"/>
    <n v="56.88"/>
    <n v="50.84"/>
    <m/>
    <s v="Yes"/>
    <n v="41943"/>
  </r>
  <r>
    <s v="PO-00083"/>
    <x v="4"/>
    <d v="2023-12-01T00:00:00"/>
    <d v="2023-12-07T00:00:00"/>
    <s v="Electronics"/>
    <x v="0"/>
    <n v="84"/>
    <n v="73.38"/>
    <n v="71.42"/>
    <n v="9"/>
    <s v="Yes"/>
    <n v="5999.28"/>
  </r>
  <r>
    <s v="PO-00084"/>
    <x v="1"/>
    <d v="2023-10-26T00:00:00"/>
    <d v="2023-11-10T00:00:00"/>
    <s v="Raw Materials"/>
    <x v="1"/>
    <n v="255"/>
    <n v="38.64"/>
    <n v="33.590000000000003"/>
    <n v="27"/>
    <s v="No"/>
    <n v="8565.4500000000007"/>
  </r>
  <r>
    <s v="PO-00085"/>
    <x v="2"/>
    <d v="2022-03-15T00:00:00"/>
    <d v="2022-03-31T00:00:00"/>
    <s v="MRO"/>
    <x v="1"/>
    <n v="1154"/>
    <n v="27.2"/>
    <n v="26.07"/>
    <n v="58"/>
    <s v="Yes"/>
    <n v="30084.78"/>
  </r>
  <r>
    <s v="PO-00086"/>
    <x v="1"/>
    <d v="2023-09-16T00:00:00"/>
    <d v="2023-09-24T00:00:00"/>
    <s v="Office Supplies"/>
    <x v="1"/>
    <n v="1635"/>
    <n v="56.91"/>
    <n v="54.37"/>
    <n v="262"/>
    <s v="No"/>
    <n v="88894.95"/>
  </r>
  <r>
    <s v="PO-00087"/>
    <x v="1"/>
    <d v="2023-10-13T00:00:00"/>
    <d v="2023-10-23T00:00:00"/>
    <s v="Raw Materials"/>
    <x v="1"/>
    <n v="1945"/>
    <n v="46.19"/>
    <n v="40.119999999999997"/>
    <n v="278"/>
    <s v="No"/>
    <n v="78033.399999999994"/>
  </r>
  <r>
    <s v="PO-00088"/>
    <x v="1"/>
    <d v="2022-06-25T00:00:00"/>
    <d v="2022-07-10T00:00:00"/>
    <s v="MRO"/>
    <x v="2"/>
    <n v="1461"/>
    <n v="64.09"/>
    <n v="63.39"/>
    <n v="228"/>
    <s v="No"/>
    <n v="92612.79"/>
  </r>
  <r>
    <s v="PO-00089"/>
    <x v="1"/>
    <d v="2023-07-01T00:00:00"/>
    <d v="2023-07-09T00:00:00"/>
    <s v="Electronics"/>
    <x v="1"/>
    <n v="1075"/>
    <n v="18.53"/>
    <n v="16.12"/>
    <n v="147"/>
    <s v="Yes"/>
    <n v="17329"/>
  </r>
  <r>
    <s v="PO-00090"/>
    <x v="0"/>
    <d v="2022-09-08T00:00:00"/>
    <m/>
    <s v="Packaging"/>
    <x v="1"/>
    <n v="1071"/>
    <n v="101.6"/>
    <n v="93.91"/>
    <n v="25"/>
    <s v="Yes"/>
    <n v="100577.61"/>
  </r>
  <r>
    <s v="PO-00091"/>
    <x v="3"/>
    <d v="2022-06-17T00:00:00"/>
    <d v="2022-07-06T00:00:00"/>
    <s v="Packaging"/>
    <x v="3"/>
    <n v="1463"/>
    <n v="101.23"/>
    <n v="86.17"/>
    <n v="43"/>
    <s v="Yes"/>
    <n v="126066.71"/>
  </r>
  <r>
    <s v="PO-00092"/>
    <x v="4"/>
    <d v="2023-04-19T00:00:00"/>
    <d v="2023-04-26T00:00:00"/>
    <s v="Raw Materials"/>
    <x v="1"/>
    <n v="615"/>
    <n v="78.3"/>
    <n v="73.680000000000007"/>
    <n v="69"/>
    <s v="Yes"/>
    <n v="45313.200000000004"/>
  </r>
  <r>
    <s v="PO-00093"/>
    <x v="2"/>
    <d v="2023-01-24T00:00:00"/>
    <d v="2023-02-11T00:00:00"/>
    <s v="Electronics"/>
    <x v="1"/>
    <n v="1179"/>
    <n v="61.74"/>
    <n v="56.28"/>
    <m/>
    <s v="Yes"/>
    <n v="66354.12"/>
  </r>
  <r>
    <s v="PO-00094"/>
    <x v="0"/>
    <d v="2022-10-04T00:00:00"/>
    <d v="2022-10-09T00:00:00"/>
    <s v="Electronics"/>
    <x v="2"/>
    <n v="1845"/>
    <n v="39.56"/>
    <n v="37.630000000000003"/>
    <n v="45"/>
    <s v="Yes"/>
    <n v="69427.350000000006"/>
  </r>
  <r>
    <s v="PO-00095"/>
    <x v="4"/>
    <d v="2023-10-18T00:00:00"/>
    <m/>
    <s v="Electronics"/>
    <x v="0"/>
    <n v="1895"/>
    <n v="91.98"/>
    <n v="86.27"/>
    <n v="170"/>
    <s v="Yes"/>
    <n v="163481.65"/>
  </r>
  <r>
    <s v="PO-00096"/>
    <x v="3"/>
    <d v="2023-12-06T00:00:00"/>
    <d v="2023-12-09T00:00:00"/>
    <s v="MRO"/>
    <x v="2"/>
    <n v="1550"/>
    <n v="79.86"/>
    <n v="69.569999999999993"/>
    <n v="32"/>
    <s v="No"/>
    <n v="107833.49999999999"/>
  </r>
  <r>
    <s v="PO-00097"/>
    <x v="1"/>
    <d v="2023-07-25T00:00:00"/>
    <d v="2023-08-04T00:00:00"/>
    <s v="Packaging"/>
    <x v="1"/>
    <n v="752"/>
    <n v="26.85"/>
    <n v="24.37"/>
    <m/>
    <s v="No"/>
    <n v="18326.240000000002"/>
  </r>
  <r>
    <s v="PO-00098"/>
    <x v="3"/>
    <d v="2022-08-13T00:00:00"/>
    <d v="2022-09-01T00:00:00"/>
    <s v="Electronics"/>
    <x v="1"/>
    <n v="451"/>
    <n v="95.2"/>
    <n v="90.07"/>
    <n v="21"/>
    <s v="Yes"/>
    <n v="40621.57"/>
  </r>
  <r>
    <s v="PO-00099"/>
    <x v="4"/>
    <d v="2023-12-03T00:00:00"/>
    <m/>
    <s v="Office Supplies"/>
    <x v="1"/>
    <n v="779"/>
    <n v="93.69"/>
    <n v="90.92"/>
    <n v="66"/>
    <s v="Yes"/>
    <n v="70826.680000000008"/>
  </r>
  <r>
    <s v="PO-00100"/>
    <x v="4"/>
    <d v="2022-11-29T00:00:00"/>
    <d v="2022-12-14T00:00:00"/>
    <s v="MRO"/>
    <x v="3"/>
    <n v="1629"/>
    <n v="100.26"/>
    <n v="86.44"/>
    <n v="187"/>
    <s v="No"/>
    <n v="140810.76"/>
  </r>
  <r>
    <s v="PO-00101"/>
    <x v="0"/>
    <d v="2022-02-27T00:00:00"/>
    <d v="2022-02-22T00:00:00"/>
    <s v="Office Supplies"/>
    <x v="1"/>
    <n v="211"/>
    <n v="75.69"/>
    <n v="65.400000000000006"/>
    <n v="2"/>
    <s v="Yes"/>
    <n v="13799.400000000001"/>
  </r>
  <r>
    <s v="PO-00102"/>
    <x v="0"/>
    <d v="2022-08-23T00:00:00"/>
    <m/>
    <s v="Office Supplies"/>
    <x v="1"/>
    <n v="251"/>
    <n v="67.489999999999995"/>
    <n v="64.48"/>
    <n v="2"/>
    <s v="Yes"/>
    <n v="16184.480000000001"/>
  </r>
  <r>
    <s v="PO-00103"/>
    <x v="2"/>
    <d v="2022-02-02T00:00:00"/>
    <d v="2022-02-18T00:00:00"/>
    <s v="Raw Materials"/>
    <x v="1"/>
    <n v="1045"/>
    <n v="47.88"/>
    <n v="44.65"/>
    <n v="69"/>
    <s v="Yes"/>
    <n v="46659.25"/>
  </r>
  <r>
    <s v="PO-00104"/>
    <x v="1"/>
    <d v="2022-11-20T00:00:00"/>
    <d v="2022-12-10T00:00:00"/>
    <s v="MRO"/>
    <x v="1"/>
    <n v="319"/>
    <n v="98.64"/>
    <n v="89.15"/>
    <n v="57"/>
    <s v="Yes"/>
    <n v="28438.850000000002"/>
  </r>
  <r>
    <s v="PO-00105"/>
    <x v="3"/>
    <d v="2023-02-15T00:00:00"/>
    <d v="2023-03-01T00:00:00"/>
    <s v="Office Supplies"/>
    <x v="2"/>
    <n v="1936"/>
    <n v="93.66"/>
    <n v="92.24"/>
    <n v="58"/>
    <s v="Yes"/>
    <n v="178576.63999999998"/>
  </r>
  <r>
    <s v="PO-00106"/>
    <x v="1"/>
    <d v="2022-10-02T00:00:00"/>
    <d v="2022-10-22T00:00:00"/>
    <s v="MRO"/>
    <x v="0"/>
    <n v="865"/>
    <n v="14.7"/>
    <n v="13.14"/>
    <n v="135"/>
    <s v="No"/>
    <n v="11366.1"/>
  </r>
  <r>
    <s v="PO-00107"/>
    <x v="3"/>
    <d v="2022-03-09T00:00:00"/>
    <d v="2022-03-12T00:00:00"/>
    <s v="Electronics"/>
    <x v="1"/>
    <n v="1344"/>
    <n v="12.5"/>
    <n v="10.87"/>
    <n v="44"/>
    <s v="Yes"/>
    <n v="14609.279999999999"/>
  </r>
  <r>
    <s v="PO-00108"/>
    <x v="1"/>
    <d v="2022-08-05T00:00:00"/>
    <d v="2022-08-24T00:00:00"/>
    <s v="Raw Materials"/>
    <x v="3"/>
    <n v="505"/>
    <n v="45.42"/>
    <n v="40.369999999999997"/>
    <n v="62"/>
    <s v="Yes"/>
    <n v="20386.849999999999"/>
  </r>
  <r>
    <s v="PO-00109"/>
    <x v="4"/>
    <d v="2023-08-04T00:00:00"/>
    <d v="2023-08-05T00:00:00"/>
    <s v="Packaging"/>
    <x v="1"/>
    <n v="1535"/>
    <n v="90.83"/>
    <n v="78.28"/>
    <n v="151"/>
    <s v="No"/>
    <n v="120159.8"/>
  </r>
  <r>
    <s v="PO-00110"/>
    <x v="4"/>
    <d v="2022-11-19T00:00:00"/>
    <m/>
    <s v="Office Supplies"/>
    <x v="1"/>
    <n v="1800"/>
    <n v="103.8"/>
    <n v="96.27"/>
    <n v="166"/>
    <s v="Yes"/>
    <n v="173286"/>
  </r>
  <r>
    <s v="PO-00111"/>
    <x v="1"/>
    <d v="2022-08-06T00:00:00"/>
    <d v="2022-08-15T00:00:00"/>
    <s v="Raw Materials"/>
    <x v="3"/>
    <n v="1325"/>
    <n v="24.36"/>
    <n v="22.75"/>
    <n v="206"/>
    <s v="Yes"/>
    <n v="30143.75"/>
  </r>
  <r>
    <s v="PO-00112"/>
    <x v="2"/>
    <d v="2023-11-03T00:00:00"/>
    <d v="2023-11-09T00:00:00"/>
    <s v="Raw Materials"/>
    <x v="1"/>
    <n v="1066"/>
    <n v="70.45"/>
    <n v="65.88"/>
    <n v="56"/>
    <s v="No"/>
    <n v="70228.08"/>
  </r>
  <r>
    <s v="PO-00113"/>
    <x v="4"/>
    <d v="2023-05-27T00:00:00"/>
    <d v="2023-06-11T00:00:00"/>
    <s v="Raw Materials"/>
    <x v="1"/>
    <n v="1775"/>
    <n v="47.82"/>
    <n v="45.86"/>
    <n v="180"/>
    <s v="Yes"/>
    <n v="81401.5"/>
  </r>
  <r>
    <s v="PO-00114"/>
    <x v="2"/>
    <d v="2023-02-10T00:00:00"/>
    <m/>
    <s v="Raw Materials"/>
    <x v="2"/>
    <n v="345"/>
    <n v="103.62"/>
    <n v="98.09"/>
    <n v="25"/>
    <s v="No"/>
    <n v="33841.050000000003"/>
  </r>
  <r>
    <s v="PO-00115"/>
    <x v="4"/>
    <d v="2023-10-21T00:00:00"/>
    <d v="2023-11-09T00:00:00"/>
    <s v="Electronics"/>
    <x v="1"/>
    <n v="1798"/>
    <n v="94.8"/>
    <n v="91.83"/>
    <m/>
    <s v="Yes"/>
    <n v="165110.34"/>
  </r>
  <r>
    <s v="PO-00116"/>
    <x v="0"/>
    <d v="2023-04-15T00:00:00"/>
    <d v="2023-05-01T00:00:00"/>
    <s v="MRO"/>
    <x v="1"/>
    <n v="769"/>
    <n v="91.86"/>
    <n v="86.55"/>
    <n v="17"/>
    <s v="Yes"/>
    <n v="66556.95"/>
  </r>
  <r>
    <s v="PO-00117"/>
    <x v="0"/>
    <d v="2022-05-27T00:00:00"/>
    <m/>
    <s v="Packaging"/>
    <x v="1"/>
    <n v="1822"/>
    <n v="53.23"/>
    <n v="47.49"/>
    <n v="39"/>
    <s v="Yes"/>
    <n v="86526.78"/>
  </r>
  <r>
    <s v="PO-00118"/>
    <x v="1"/>
    <d v="2022-09-29T00:00:00"/>
    <d v="2022-10-13T00:00:00"/>
    <s v="Packaging"/>
    <x v="1"/>
    <n v="387"/>
    <n v="49.23"/>
    <n v="45.41"/>
    <n v="61"/>
    <s v="Yes"/>
    <n v="17573.669999999998"/>
  </r>
  <r>
    <s v="PO-00119"/>
    <x v="3"/>
    <d v="2022-05-23T00:00:00"/>
    <d v="2022-05-27T00:00:00"/>
    <s v="MRO"/>
    <x v="1"/>
    <n v="928"/>
    <n v="35.299999999999997"/>
    <n v="32.520000000000003"/>
    <n v="26"/>
    <s v="Yes"/>
    <n v="30178.560000000001"/>
  </r>
  <r>
    <s v="PO-00120"/>
    <x v="0"/>
    <d v="2022-09-10T00:00:00"/>
    <d v="2022-09-21T00:00:00"/>
    <s v="Packaging"/>
    <x v="2"/>
    <n v="1126"/>
    <n v="15.68"/>
    <n v="14.97"/>
    <n v="27"/>
    <s v="Yes"/>
    <n v="16856.22"/>
  </r>
  <r>
    <s v="PO-00121"/>
    <x v="4"/>
    <d v="2023-07-29T00:00:00"/>
    <d v="2023-08-14T00:00:00"/>
    <s v="Raw Materials"/>
    <x v="0"/>
    <n v="841"/>
    <n v="95.73"/>
    <n v="85.33"/>
    <n v="81"/>
    <s v="Yes"/>
    <n v="71762.53"/>
  </r>
  <r>
    <s v="PO-00122"/>
    <x v="4"/>
    <d v="2023-07-06T00:00:00"/>
    <d v="2023-07-19T00:00:00"/>
    <s v="Electronics"/>
    <x v="1"/>
    <n v="1995"/>
    <n v="90.65"/>
    <n v="77.75"/>
    <n v="206"/>
    <s v="Yes"/>
    <n v="155111.25"/>
  </r>
  <r>
    <s v="PO-00123"/>
    <x v="0"/>
    <d v="2022-09-27T00:00:00"/>
    <d v="2022-10-15T00:00:00"/>
    <s v="Raw Materials"/>
    <x v="1"/>
    <n v="266"/>
    <n v="103.97"/>
    <n v="101.44"/>
    <n v="6"/>
    <s v="Yes"/>
    <n v="26983.040000000001"/>
  </r>
  <r>
    <s v="PO-00124"/>
    <x v="0"/>
    <d v="2023-08-22T00:00:00"/>
    <d v="2023-08-25T00:00:00"/>
    <s v="Raw Materials"/>
    <x v="0"/>
    <n v="813"/>
    <n v="109.17"/>
    <n v="107.39"/>
    <n v="14"/>
    <s v="Yes"/>
    <n v="87308.07"/>
  </r>
  <r>
    <s v="PO-00125"/>
    <x v="3"/>
    <d v="2023-03-15T00:00:00"/>
    <d v="2023-03-26T00:00:00"/>
    <s v="Electronics"/>
    <x v="1"/>
    <n v="237"/>
    <n v="64.19"/>
    <n v="59.01"/>
    <n v="7"/>
    <s v="Yes"/>
    <n v="13985.369999999999"/>
  </r>
  <r>
    <s v="PO-00126"/>
    <x v="0"/>
    <d v="2023-08-21T00:00:00"/>
    <d v="2023-09-03T00:00:00"/>
    <s v="Office Supplies"/>
    <x v="0"/>
    <n v="429"/>
    <n v="86.73"/>
    <n v="75.09"/>
    <n v="9"/>
    <s v="Yes"/>
    <n v="32213.61"/>
  </r>
  <r>
    <s v="PO-00127"/>
    <x v="1"/>
    <d v="2023-02-13T00:00:00"/>
    <d v="2023-02-14T00:00:00"/>
    <s v="Packaging"/>
    <x v="1"/>
    <n v="542"/>
    <n v="101.21"/>
    <n v="93.11"/>
    <n v="78"/>
    <s v="No"/>
    <n v="50465.62"/>
  </r>
  <r>
    <s v="PO-00128"/>
    <x v="3"/>
    <d v="2023-01-06T00:00:00"/>
    <d v="2023-01-24T00:00:00"/>
    <s v="Electronics"/>
    <x v="1"/>
    <n v="1114"/>
    <n v="91.66"/>
    <n v="85.53"/>
    <n v="35"/>
    <s v="Yes"/>
    <n v="95280.42"/>
  </r>
  <r>
    <s v="PO-00129"/>
    <x v="0"/>
    <d v="2022-08-13T00:00:00"/>
    <d v="2022-08-15T00:00:00"/>
    <s v="MRO"/>
    <x v="1"/>
    <n v="1230"/>
    <n v="33.39"/>
    <n v="30.85"/>
    <n v="26"/>
    <s v="Yes"/>
    <n v="37945.5"/>
  </r>
  <r>
    <s v="PO-00130"/>
    <x v="4"/>
    <d v="2022-05-22T00:00:00"/>
    <d v="2022-06-03T00:00:00"/>
    <s v="MRO"/>
    <x v="1"/>
    <n v="64"/>
    <n v="51.56"/>
    <n v="50.88"/>
    <n v="5"/>
    <s v="Yes"/>
    <n v="3256.32"/>
  </r>
  <r>
    <s v="PO-00131"/>
    <x v="0"/>
    <d v="2023-06-06T00:00:00"/>
    <d v="2023-06-22T00:00:00"/>
    <s v="MRO"/>
    <x v="1"/>
    <n v="1886"/>
    <n v="23.46"/>
    <n v="23.18"/>
    <m/>
    <s v="Yes"/>
    <n v="43717.479999999996"/>
  </r>
  <r>
    <s v="PO-00132"/>
    <x v="1"/>
    <d v="2023-05-21T00:00:00"/>
    <d v="2023-05-23T00:00:00"/>
    <s v="Office Supplies"/>
    <x v="1"/>
    <n v="114"/>
    <n v="103.53"/>
    <n v="101.54"/>
    <n v="14"/>
    <s v="Yes"/>
    <n v="11575.560000000001"/>
  </r>
  <r>
    <s v="PO-00133"/>
    <x v="1"/>
    <d v="2022-04-04T00:00:00"/>
    <d v="2022-04-22T00:00:00"/>
    <s v="Electronics"/>
    <x v="0"/>
    <n v="1930"/>
    <n v="65.52"/>
    <n v="56.9"/>
    <n v="282"/>
    <s v="Yes"/>
    <n v="109817"/>
  </r>
  <r>
    <s v="PO-00134"/>
    <x v="4"/>
    <d v="2022-02-18T00:00:00"/>
    <d v="2022-02-28T00:00:00"/>
    <s v="Office Supplies"/>
    <x v="3"/>
    <n v="1912"/>
    <n v="30.73"/>
    <n v="29.82"/>
    <n v="191"/>
    <s v="Yes"/>
    <n v="57015.840000000004"/>
  </r>
  <r>
    <s v="PO-00135"/>
    <x v="3"/>
    <d v="2022-04-23T00:00:00"/>
    <d v="2022-05-09T00:00:00"/>
    <s v="MRO"/>
    <x v="1"/>
    <n v="570"/>
    <n v="71.510000000000005"/>
    <n v="66.47"/>
    <m/>
    <s v="Yes"/>
    <n v="37887.9"/>
  </r>
  <r>
    <s v="PO-00136"/>
    <x v="4"/>
    <d v="2022-06-06T00:00:00"/>
    <d v="2022-06-26T00:00:00"/>
    <s v="Raw Materials"/>
    <x v="1"/>
    <n v="1417"/>
    <n v="67.27"/>
    <n v="60.62"/>
    <m/>
    <s v="Yes"/>
    <n v="85898.54"/>
  </r>
  <r>
    <s v="PO-00137"/>
    <x v="0"/>
    <d v="2023-10-05T00:00:00"/>
    <d v="2023-10-11T00:00:00"/>
    <s v="Raw Materials"/>
    <x v="1"/>
    <n v="1202"/>
    <n v="46.67"/>
    <n v="44.13"/>
    <n v="21"/>
    <s v="No"/>
    <n v="53044.26"/>
  </r>
  <r>
    <s v="PO-00138"/>
    <x v="4"/>
    <d v="2022-06-13T00:00:00"/>
    <d v="2022-06-14T00:00:00"/>
    <s v="Office Supplies"/>
    <x v="1"/>
    <n v="697"/>
    <n v="20.73"/>
    <n v="19.829999999999998"/>
    <n v="78"/>
    <s v="No"/>
    <n v="13821.509999999998"/>
  </r>
  <r>
    <s v="PO-00139"/>
    <x v="3"/>
    <d v="2023-11-28T00:00:00"/>
    <d v="2023-12-01T00:00:00"/>
    <s v="MRO"/>
    <x v="1"/>
    <n v="1545"/>
    <n v="78.19"/>
    <n v="76.91"/>
    <n v="42"/>
    <s v="Yes"/>
    <n v="118825.95"/>
  </r>
  <r>
    <s v="PO-00140"/>
    <x v="2"/>
    <d v="2023-03-09T00:00:00"/>
    <d v="2023-03-13T00:00:00"/>
    <s v="MRO"/>
    <x v="2"/>
    <n v="1136"/>
    <n v="60.81"/>
    <n v="58.25"/>
    <n v="62"/>
    <s v="Yes"/>
    <n v="66172"/>
  </r>
  <r>
    <s v="PO-00141"/>
    <x v="4"/>
    <d v="2023-09-03T00:00:00"/>
    <d v="2023-09-07T00:00:00"/>
    <s v="MRO"/>
    <x v="1"/>
    <n v="1212"/>
    <n v="87.46"/>
    <n v="74.55"/>
    <n v="118"/>
    <s v="No"/>
    <n v="90354.599999999991"/>
  </r>
  <r>
    <s v="PO-00142"/>
    <x v="3"/>
    <d v="2022-03-07T00:00:00"/>
    <d v="2022-03-12T00:00:00"/>
    <s v="MRO"/>
    <x v="1"/>
    <n v="1572"/>
    <n v="57.38"/>
    <n v="49.32"/>
    <n v="40"/>
    <s v="Yes"/>
    <n v="77531.039999999994"/>
  </r>
  <r>
    <s v="PO-00143"/>
    <x v="2"/>
    <d v="2023-01-30T00:00:00"/>
    <d v="2023-02-09T00:00:00"/>
    <s v="Electronics"/>
    <x v="1"/>
    <n v="642"/>
    <n v="91.9"/>
    <n v="81.489999999999995"/>
    <n v="26"/>
    <s v="Yes"/>
    <n v="52316.579999999994"/>
  </r>
  <r>
    <s v="PO-00144"/>
    <x v="3"/>
    <d v="2023-01-26T00:00:00"/>
    <d v="2023-02-04T00:00:00"/>
    <s v="Office Supplies"/>
    <x v="1"/>
    <n v="441"/>
    <n v="63.25"/>
    <n v="54.12"/>
    <n v="16"/>
    <s v="Yes"/>
    <n v="23866.92"/>
  </r>
  <r>
    <s v="PO-00145"/>
    <x v="3"/>
    <d v="2023-09-03T00:00:00"/>
    <d v="2023-09-19T00:00:00"/>
    <s v="Office Supplies"/>
    <x v="1"/>
    <n v="1748"/>
    <n v="66.53"/>
    <n v="57.11"/>
    <m/>
    <s v="Yes"/>
    <n v="99828.28"/>
  </r>
  <r>
    <s v="PO-00146"/>
    <x v="2"/>
    <d v="2023-04-25T00:00:00"/>
    <m/>
    <s v="Electronics"/>
    <x v="3"/>
    <n v="468"/>
    <n v="95.57"/>
    <n v="91.8"/>
    <n v="24"/>
    <s v="Yes"/>
    <n v="42962.400000000001"/>
  </r>
  <r>
    <s v="PO-00147"/>
    <x v="4"/>
    <d v="2023-06-26T00:00:00"/>
    <d v="2023-07-14T00:00:00"/>
    <s v="Raw Materials"/>
    <x v="1"/>
    <n v="338"/>
    <n v="50.25"/>
    <n v="46.28"/>
    <n v="49"/>
    <s v="No"/>
    <n v="15642.640000000001"/>
  </r>
  <r>
    <s v="PO-00148"/>
    <x v="2"/>
    <d v="2022-09-15T00:00:00"/>
    <d v="2022-09-22T00:00:00"/>
    <s v="Office Supplies"/>
    <x v="1"/>
    <n v="428"/>
    <n v="22.94"/>
    <n v="21.52"/>
    <n v="26"/>
    <s v="Yes"/>
    <n v="9210.56"/>
  </r>
  <r>
    <s v="PO-00149"/>
    <x v="4"/>
    <d v="2023-07-21T00:00:00"/>
    <m/>
    <s v="Packaging"/>
    <x v="1"/>
    <n v="1846"/>
    <n v="13.72"/>
    <n v="12.62"/>
    <n v="216"/>
    <s v="Yes"/>
    <n v="23296.519999999997"/>
  </r>
  <r>
    <s v="PO-00150"/>
    <x v="3"/>
    <d v="2022-01-12T00:00:00"/>
    <d v="2022-01-17T00:00:00"/>
    <s v="Office Supplies"/>
    <x v="1"/>
    <n v="1563"/>
    <n v="77.959999999999994"/>
    <n v="70.8"/>
    <n v="41"/>
    <s v="Yes"/>
    <n v="110660.4"/>
  </r>
  <r>
    <s v="PO-00151"/>
    <x v="4"/>
    <d v="2023-11-28T00:00:00"/>
    <d v="2023-12-07T00:00:00"/>
    <s v="Office Supplies"/>
    <x v="1"/>
    <n v="280"/>
    <n v="73.069999999999993"/>
    <n v="69.290000000000006"/>
    <n v="30"/>
    <s v="Yes"/>
    <n v="19401.2"/>
  </r>
  <r>
    <s v="PO-00152"/>
    <x v="1"/>
    <d v="2022-04-28T00:00:00"/>
    <d v="2022-05-12T00:00:00"/>
    <s v="Raw Materials"/>
    <x v="1"/>
    <n v="1067"/>
    <n v="74.47"/>
    <n v="64.16"/>
    <m/>
    <s v="No"/>
    <n v="68458.720000000001"/>
  </r>
  <r>
    <s v="PO-00153"/>
    <x v="2"/>
    <d v="2023-11-30T00:00:00"/>
    <d v="2023-12-17T00:00:00"/>
    <s v="Electronics"/>
    <x v="3"/>
    <n v="90"/>
    <n v="32.380000000000003"/>
    <n v="29.96"/>
    <n v="7"/>
    <s v="Yes"/>
    <n v="2696.4"/>
  </r>
  <r>
    <s v="PO-00154"/>
    <x v="2"/>
    <d v="2023-07-04T00:00:00"/>
    <d v="2023-07-05T00:00:00"/>
    <s v="Raw Materials"/>
    <x v="1"/>
    <n v="1101"/>
    <n v="24.28"/>
    <n v="22.73"/>
    <n v="59"/>
    <s v="No"/>
    <n v="25025.73"/>
  </r>
  <r>
    <s v="PO-00155"/>
    <x v="0"/>
    <d v="2022-10-01T00:00:00"/>
    <d v="2022-10-11T00:00:00"/>
    <s v="Raw Materials"/>
    <x v="1"/>
    <n v="184"/>
    <n v="11.82"/>
    <n v="10.51"/>
    <n v="4"/>
    <s v="Yes"/>
    <n v="1933.84"/>
  </r>
  <r>
    <s v="PO-00156"/>
    <x v="3"/>
    <d v="2023-10-19T00:00:00"/>
    <d v="2023-11-07T00:00:00"/>
    <s v="Electronics"/>
    <x v="1"/>
    <n v="250"/>
    <n v="45.92"/>
    <n v="41.02"/>
    <n v="3"/>
    <s v="Yes"/>
    <n v="10255"/>
  </r>
  <r>
    <s v="PO-00157"/>
    <x v="3"/>
    <d v="2022-12-15T00:00:00"/>
    <m/>
    <s v="Packaging"/>
    <x v="0"/>
    <n v="1913"/>
    <n v="66.56"/>
    <n v="61.34"/>
    <n v="61"/>
    <s v="Yes"/>
    <n v="117343.42000000001"/>
  </r>
  <r>
    <s v="PO-00158"/>
    <x v="4"/>
    <d v="2022-04-25T00:00:00"/>
    <d v="2022-04-30T00:00:00"/>
    <s v="Electronics"/>
    <x v="1"/>
    <n v="829"/>
    <n v="45.98"/>
    <n v="40.39"/>
    <m/>
    <s v="Yes"/>
    <n v="33483.31"/>
  </r>
  <r>
    <s v="PO-00159"/>
    <x v="1"/>
    <d v="2022-10-28T00:00:00"/>
    <d v="2022-11-13T00:00:00"/>
    <s v="Raw Materials"/>
    <x v="1"/>
    <n v="979"/>
    <n v="51.59"/>
    <n v="49.69"/>
    <n v="148"/>
    <s v="Yes"/>
    <n v="48646.509999999995"/>
  </r>
  <r>
    <s v="PO-00160"/>
    <x v="3"/>
    <d v="2023-03-22T00:00:00"/>
    <d v="2023-04-09T00:00:00"/>
    <s v="Electronics"/>
    <x v="2"/>
    <n v="1106"/>
    <n v="97.77"/>
    <n v="90.45"/>
    <n v="31"/>
    <s v="Yes"/>
    <n v="100037.7"/>
  </r>
  <r>
    <s v="PO-00161"/>
    <x v="1"/>
    <d v="2022-06-11T00:00:00"/>
    <d v="2022-06-24T00:00:00"/>
    <s v="Office Supplies"/>
    <x v="3"/>
    <n v="1121"/>
    <n v="42.38"/>
    <n v="38.340000000000003"/>
    <n v="152"/>
    <s v="Yes"/>
    <n v="42979.140000000007"/>
  </r>
  <r>
    <s v="PO-00162"/>
    <x v="0"/>
    <d v="2023-04-10T00:00:00"/>
    <d v="2023-04-21T00:00:00"/>
    <s v="Office Supplies"/>
    <x v="1"/>
    <n v="552"/>
    <n v="60.48"/>
    <n v="56.78"/>
    <n v="10"/>
    <s v="Yes"/>
    <n v="31342.560000000001"/>
  </r>
  <r>
    <s v="PO-00163"/>
    <x v="2"/>
    <d v="2022-01-04T00:00:00"/>
    <d v="2022-01-12T00:00:00"/>
    <s v="Packaging"/>
    <x v="1"/>
    <n v="456"/>
    <n v="80.53"/>
    <n v="77.86"/>
    <n v="26"/>
    <s v="Yes"/>
    <n v="35504.159999999996"/>
  </r>
  <r>
    <s v="PO-00164"/>
    <x v="1"/>
    <d v="2022-09-27T00:00:00"/>
    <d v="2022-10-05T00:00:00"/>
    <s v="Packaging"/>
    <x v="1"/>
    <n v="1647"/>
    <n v="47.52"/>
    <n v="44.92"/>
    <m/>
    <s v="Yes"/>
    <n v="73983.240000000005"/>
  </r>
  <r>
    <s v="PO-00165"/>
    <x v="3"/>
    <d v="2023-05-28T00:00:00"/>
    <d v="2023-06-11T00:00:00"/>
    <s v="Electronics"/>
    <x v="3"/>
    <n v="1801"/>
    <n v="71.27"/>
    <n v="61.24"/>
    <n v="43"/>
    <s v="Yes"/>
    <n v="110293.24"/>
  </r>
  <r>
    <s v="PO-00166"/>
    <x v="2"/>
    <d v="2022-07-02T00:00:00"/>
    <d v="2022-07-18T00:00:00"/>
    <s v="Electronics"/>
    <x v="1"/>
    <n v="854"/>
    <n v="90.24"/>
    <n v="85.53"/>
    <m/>
    <s v="Yes"/>
    <n v="73042.62"/>
  </r>
  <r>
    <s v="PO-00167"/>
    <x v="1"/>
    <d v="2023-06-04T00:00:00"/>
    <d v="2023-06-17T00:00:00"/>
    <s v="Electronics"/>
    <x v="1"/>
    <n v="148"/>
    <n v="103.57"/>
    <n v="98.62"/>
    <n v="23"/>
    <s v="No"/>
    <n v="14595.76"/>
  </r>
  <r>
    <s v="PO-00168"/>
    <x v="1"/>
    <d v="2022-04-19T00:00:00"/>
    <d v="2022-04-24T00:00:00"/>
    <s v="MRO"/>
    <x v="1"/>
    <n v="733"/>
    <n v="23.59"/>
    <n v="22.85"/>
    <n v="92"/>
    <s v="Yes"/>
    <n v="16749.05"/>
  </r>
  <r>
    <s v="PO-00169"/>
    <x v="4"/>
    <d v="2023-10-03T00:00:00"/>
    <d v="2023-10-05T00:00:00"/>
    <s v="Raw Materials"/>
    <x v="1"/>
    <n v="1945"/>
    <n v="103.2"/>
    <n v="88.56"/>
    <m/>
    <s v="Yes"/>
    <n v="172249.2"/>
  </r>
  <r>
    <s v="PO-00170"/>
    <x v="2"/>
    <d v="2022-11-02T00:00:00"/>
    <d v="2022-11-21T00:00:00"/>
    <s v="Raw Materials"/>
    <x v="1"/>
    <n v="775"/>
    <n v="57"/>
    <n v="49.14"/>
    <n v="48"/>
    <s v="Yes"/>
    <n v="38083.5"/>
  </r>
  <r>
    <s v="PO-00171"/>
    <x v="1"/>
    <d v="2023-10-17T00:00:00"/>
    <d v="2023-10-21T00:00:00"/>
    <s v="Packaging"/>
    <x v="1"/>
    <n v="1620"/>
    <n v="36.729999999999997"/>
    <n v="33.450000000000003"/>
    <n v="235"/>
    <s v="No"/>
    <n v="54189.000000000007"/>
  </r>
  <r>
    <s v="PO-00172"/>
    <x v="4"/>
    <d v="2023-06-04T00:00:00"/>
    <d v="2023-06-19T00:00:00"/>
    <s v="Office Supplies"/>
    <x v="1"/>
    <n v="1010"/>
    <n v="55.68"/>
    <n v="50.86"/>
    <m/>
    <s v="Yes"/>
    <n v="51368.6"/>
  </r>
  <r>
    <s v="PO-00173"/>
    <x v="3"/>
    <d v="2023-09-16T00:00:00"/>
    <d v="2023-10-01T00:00:00"/>
    <s v="Office Supplies"/>
    <x v="1"/>
    <n v="1812"/>
    <n v="108.02"/>
    <n v="101.02"/>
    <n v="51"/>
    <s v="Yes"/>
    <n v="183048.24"/>
  </r>
  <r>
    <s v="PO-00174"/>
    <x v="1"/>
    <d v="2022-07-23T00:00:00"/>
    <d v="2022-07-28T00:00:00"/>
    <s v="Office Supplies"/>
    <x v="1"/>
    <n v="662"/>
    <n v="55.97"/>
    <n v="50"/>
    <n v="100"/>
    <s v="Yes"/>
    <n v="33100"/>
  </r>
  <r>
    <s v="PO-00175"/>
    <x v="4"/>
    <d v="2022-06-06T00:00:00"/>
    <d v="2022-06-11T00:00:00"/>
    <s v="Office Supplies"/>
    <x v="3"/>
    <n v="1535"/>
    <n v="40.58"/>
    <n v="38.71"/>
    <n v="165"/>
    <s v="Yes"/>
    <n v="59419.85"/>
  </r>
  <r>
    <s v="PO-00176"/>
    <x v="4"/>
    <d v="2023-01-18T00:00:00"/>
    <d v="2023-01-27T00:00:00"/>
    <s v="Raw Materials"/>
    <x v="1"/>
    <n v="692"/>
    <n v="71.03"/>
    <n v="67.739999999999995"/>
    <n v="70"/>
    <s v="Yes"/>
    <n v="46876.079999999994"/>
  </r>
  <r>
    <s v="PO-00177"/>
    <x v="2"/>
    <d v="2022-06-15T00:00:00"/>
    <d v="2022-06-28T00:00:00"/>
    <s v="MRO"/>
    <x v="1"/>
    <n v="1842"/>
    <n v="32.4"/>
    <n v="28.08"/>
    <n v="96"/>
    <s v="Yes"/>
    <n v="51723.359999999993"/>
  </r>
  <r>
    <s v="PO-00178"/>
    <x v="4"/>
    <d v="2023-07-07T00:00:00"/>
    <d v="2023-07-18T00:00:00"/>
    <s v="Office Supplies"/>
    <x v="0"/>
    <n v="1078"/>
    <n v="18.34"/>
    <n v="17.41"/>
    <n v="102"/>
    <s v="Yes"/>
    <n v="18767.98"/>
  </r>
  <r>
    <s v="PO-00179"/>
    <x v="1"/>
    <d v="2023-06-28T00:00:00"/>
    <d v="2023-07-16T00:00:00"/>
    <s v="Packaging"/>
    <x v="1"/>
    <n v="1291"/>
    <n v="23.44"/>
    <n v="22.23"/>
    <m/>
    <s v="Yes"/>
    <n v="28698.93"/>
  </r>
  <r>
    <s v="PO-00180"/>
    <x v="0"/>
    <d v="2022-01-01T00:00:00"/>
    <d v="2022-01-12T00:00:00"/>
    <s v="Electronics"/>
    <x v="1"/>
    <n v="552"/>
    <n v="21.52"/>
    <n v="18.79"/>
    <n v="13"/>
    <s v="Yes"/>
    <n v="10372.08"/>
  </r>
  <r>
    <s v="PO-00181"/>
    <x v="3"/>
    <d v="2023-09-06T00:00:00"/>
    <d v="2023-09-22T00:00:00"/>
    <s v="Electronics"/>
    <x v="1"/>
    <n v="816"/>
    <n v="26.04"/>
    <n v="25.61"/>
    <n v="28"/>
    <s v="Yes"/>
    <n v="20897.759999999998"/>
  </r>
  <r>
    <s v="PO-00182"/>
    <x v="1"/>
    <d v="2022-11-28T00:00:00"/>
    <d v="2022-11-30T00:00:00"/>
    <s v="Packaging"/>
    <x v="1"/>
    <n v="447"/>
    <n v="23.62"/>
    <n v="21.81"/>
    <n v="50"/>
    <s v="Yes"/>
    <n v="9749.07"/>
  </r>
  <r>
    <s v="PO-00183"/>
    <x v="1"/>
    <d v="2023-05-16T00:00:00"/>
    <d v="2023-05-24T00:00:00"/>
    <s v="Packaging"/>
    <x v="2"/>
    <n v="920"/>
    <n v="73.09"/>
    <n v="70.14"/>
    <m/>
    <s v="Yes"/>
    <n v="64528.800000000003"/>
  </r>
  <r>
    <s v="PO-00184"/>
    <x v="3"/>
    <d v="2022-01-20T00:00:00"/>
    <d v="2022-01-30T00:00:00"/>
    <s v="Packaging"/>
    <x v="2"/>
    <n v="844"/>
    <n v="26.37"/>
    <n v="25.08"/>
    <n v="38"/>
    <s v="Yes"/>
    <n v="21167.519999999997"/>
  </r>
  <r>
    <s v="PO-00185"/>
    <x v="3"/>
    <d v="2022-04-25T00:00:00"/>
    <m/>
    <s v="MRO"/>
    <x v="1"/>
    <n v="442"/>
    <n v="41.73"/>
    <n v="36.450000000000003"/>
    <n v="15"/>
    <s v="Yes"/>
    <n v="16110.900000000001"/>
  </r>
  <r>
    <s v="PO-00186"/>
    <x v="4"/>
    <d v="2023-01-07T00:00:00"/>
    <d v="2023-01-21T00:00:00"/>
    <s v="Electronics"/>
    <x v="0"/>
    <n v="256"/>
    <n v="96.15"/>
    <n v="83.44"/>
    <n v="26"/>
    <s v="Yes"/>
    <n v="21360.639999999999"/>
  </r>
  <r>
    <s v="PO-00187"/>
    <x v="1"/>
    <d v="2022-11-11T00:00:00"/>
    <m/>
    <s v="MRO"/>
    <x v="2"/>
    <n v="1088"/>
    <n v="55.29"/>
    <n v="53.04"/>
    <n v="161"/>
    <s v="No"/>
    <n v="57707.519999999997"/>
  </r>
  <r>
    <s v="PO-00188"/>
    <x v="4"/>
    <d v="2022-09-03T00:00:00"/>
    <d v="2022-09-07T00:00:00"/>
    <s v="Office Supplies"/>
    <x v="1"/>
    <n v="1931"/>
    <n v="72.88"/>
    <n v="64.69"/>
    <n v="187"/>
    <s v="Yes"/>
    <n v="124916.39"/>
  </r>
  <r>
    <s v="PO-00189"/>
    <x v="2"/>
    <d v="2022-03-01T00:00:00"/>
    <d v="2022-03-11T00:00:00"/>
    <s v="Electronics"/>
    <x v="1"/>
    <n v="1627"/>
    <n v="25.76"/>
    <n v="25.09"/>
    <n v="74"/>
    <s v="Yes"/>
    <n v="40821.43"/>
  </r>
  <r>
    <s v="PO-00190"/>
    <x v="4"/>
    <d v="2022-09-04T00:00:00"/>
    <m/>
    <s v="Packaging"/>
    <x v="1"/>
    <n v="941"/>
    <n v="28.4"/>
    <n v="27.21"/>
    <m/>
    <s v="No"/>
    <n v="25604.61"/>
  </r>
  <r>
    <s v="PO-00191"/>
    <x v="2"/>
    <d v="2023-08-04T00:00:00"/>
    <d v="2023-08-06T00:00:00"/>
    <s v="MRO"/>
    <x v="1"/>
    <n v="1534"/>
    <n v="14.98"/>
    <n v="12.79"/>
    <m/>
    <s v="Yes"/>
    <n v="19619.859999999997"/>
  </r>
  <r>
    <s v="PO-00192"/>
    <x v="0"/>
    <d v="2022-03-22T00:00:00"/>
    <d v="2022-04-03T00:00:00"/>
    <s v="Raw Materials"/>
    <x v="1"/>
    <n v="1764"/>
    <n v="25.46"/>
    <n v="24.52"/>
    <n v="46"/>
    <s v="Yes"/>
    <n v="43253.279999999999"/>
  </r>
  <r>
    <s v="PO-00193"/>
    <x v="1"/>
    <d v="2022-03-29T00:00:00"/>
    <d v="2022-04-06T00:00:00"/>
    <s v="Electronics"/>
    <x v="1"/>
    <n v="1648"/>
    <n v="35.42"/>
    <n v="31.46"/>
    <m/>
    <s v="No"/>
    <n v="51846.080000000002"/>
  </r>
  <r>
    <s v="PO-00194"/>
    <x v="2"/>
    <d v="2023-05-13T00:00:00"/>
    <d v="2023-06-01T00:00:00"/>
    <s v="Packaging"/>
    <x v="1"/>
    <n v="913"/>
    <n v="28.01"/>
    <n v="24.06"/>
    <n v="53"/>
    <s v="Yes"/>
    <n v="21966.78"/>
  </r>
  <r>
    <s v="PO-00195"/>
    <x v="0"/>
    <d v="2022-03-12T00:00:00"/>
    <d v="2022-03-18T00:00:00"/>
    <s v="Packaging"/>
    <x v="0"/>
    <n v="792"/>
    <n v="18.16"/>
    <n v="17.25"/>
    <n v="17"/>
    <s v="Yes"/>
    <n v="13662"/>
  </r>
  <r>
    <s v="PO-00196"/>
    <x v="3"/>
    <d v="2023-06-30T00:00:00"/>
    <d v="2023-07-03T00:00:00"/>
    <s v="Office Supplies"/>
    <x v="2"/>
    <n v="1314"/>
    <n v="22.63"/>
    <n v="21.06"/>
    <n v="44"/>
    <s v="Yes"/>
    <n v="27672.839999999997"/>
  </r>
  <r>
    <s v="PO-00197"/>
    <x v="4"/>
    <d v="2022-05-09T00:00:00"/>
    <d v="2022-05-22T00:00:00"/>
    <s v="MRO"/>
    <x v="1"/>
    <n v="613"/>
    <n v="52.5"/>
    <n v="45.19"/>
    <n v="70"/>
    <s v="Yes"/>
    <n v="27701.469999999998"/>
  </r>
  <r>
    <s v="PO-00198"/>
    <x v="0"/>
    <d v="2022-05-12T00:00:00"/>
    <d v="2022-05-20T00:00:00"/>
    <s v="Office Supplies"/>
    <x v="1"/>
    <n v="1070"/>
    <n v="29.14"/>
    <n v="26.63"/>
    <n v="24"/>
    <s v="Yes"/>
    <n v="28494.1"/>
  </r>
  <r>
    <s v="PO-00199"/>
    <x v="2"/>
    <d v="2023-11-07T00:00:00"/>
    <d v="2023-11-26T00:00:00"/>
    <s v="Raw Materials"/>
    <x v="2"/>
    <n v="145"/>
    <n v="47.49"/>
    <n v="42.76"/>
    <n v="6"/>
    <s v="Yes"/>
    <n v="6200.2"/>
  </r>
  <r>
    <s v="PO-00200"/>
    <x v="1"/>
    <d v="2023-05-02T00:00:00"/>
    <d v="2023-05-17T00:00:00"/>
    <s v="Raw Materials"/>
    <x v="1"/>
    <n v="1973"/>
    <n v="59.73"/>
    <n v="54.95"/>
    <n v="291"/>
    <s v="Yes"/>
    <n v="108416.35"/>
  </r>
  <r>
    <s v="PO-00201"/>
    <x v="3"/>
    <d v="2023-07-17T00:00:00"/>
    <d v="2023-08-01T00:00:00"/>
    <s v="Office Supplies"/>
    <x v="1"/>
    <n v="1807"/>
    <n v="78.63"/>
    <n v="73.08"/>
    <n v="100"/>
    <s v="Yes"/>
    <n v="132055.56"/>
  </r>
  <r>
    <s v="PO-00202"/>
    <x v="3"/>
    <d v="2022-06-19T00:00:00"/>
    <d v="2022-06-20T00:00:00"/>
    <s v="Electronics"/>
    <x v="1"/>
    <n v="534"/>
    <n v="13.88"/>
    <n v="12.51"/>
    <n v="100"/>
    <s v="Yes"/>
    <n v="6680.34"/>
  </r>
  <r>
    <s v="PO-00203"/>
    <x v="0"/>
    <d v="2022-09-29T00:00:00"/>
    <d v="2022-10-14T00:00:00"/>
    <s v="Electronics"/>
    <x v="1"/>
    <n v="1480"/>
    <n v="85.22"/>
    <n v="75.48"/>
    <n v="100"/>
    <s v="Yes"/>
    <n v="111710.40000000001"/>
  </r>
  <r>
    <s v="PO-00204"/>
    <x v="0"/>
    <d v="2023-06-25T00:00:00"/>
    <m/>
    <s v="Office Supplies"/>
    <x v="1"/>
    <n v="280"/>
    <n v="72.16"/>
    <n v="62.38"/>
    <n v="100"/>
    <s v="Yes"/>
    <n v="17466.400000000001"/>
  </r>
  <r>
    <s v="PO-00205"/>
    <x v="4"/>
    <d v="2023-09-14T00:00:00"/>
    <d v="2023-09-20T00:00:00"/>
    <s v="Office Supplies"/>
    <x v="0"/>
    <n v="798"/>
    <n v="19.09"/>
    <n v="17.760000000000002"/>
    <n v="100"/>
    <s v="Yes"/>
    <n v="14172.480000000001"/>
  </r>
  <r>
    <s v="PO-00206"/>
    <x v="3"/>
    <d v="2023-03-10T00:00:00"/>
    <d v="2023-03-22T00:00:00"/>
    <s v="Electronics"/>
    <x v="1"/>
    <n v="1728"/>
    <n v="94.83"/>
    <n v="90.2"/>
    <n v="100"/>
    <s v="Yes"/>
    <n v="155865.60000000001"/>
  </r>
  <r>
    <s v="PO-00207"/>
    <x v="3"/>
    <d v="2022-08-05T00:00:00"/>
    <m/>
    <s v="MRO"/>
    <x v="1"/>
    <n v="1244"/>
    <n v="96.13"/>
    <n v="84.78"/>
    <n v="43"/>
    <s v="Yes"/>
    <n v="105466.32"/>
  </r>
  <r>
    <s v="PO-00208"/>
    <x v="4"/>
    <d v="2023-07-07T00:00:00"/>
    <d v="2023-07-21T00:00:00"/>
    <s v="Office Supplies"/>
    <x v="1"/>
    <n v="590"/>
    <n v="16.89"/>
    <n v="15.56"/>
    <n v="46"/>
    <s v="No"/>
    <n v="9180.4"/>
  </r>
  <r>
    <s v="PO-00209"/>
    <x v="1"/>
    <d v="2023-12-08T00:00:00"/>
    <d v="2023-12-23T00:00:00"/>
    <s v="Packaging"/>
    <x v="1"/>
    <n v="1109"/>
    <n v="38.93"/>
    <n v="33.33"/>
    <n v="152"/>
    <s v="Yes"/>
    <n v="36962.97"/>
  </r>
  <r>
    <s v="PO-00210"/>
    <x v="4"/>
    <d v="2022-07-25T00:00:00"/>
    <d v="2022-08-01T00:00:00"/>
    <s v="MRO"/>
    <x v="1"/>
    <n v="574"/>
    <n v="85.03"/>
    <n v="82.55"/>
    <n v="54"/>
    <s v="Yes"/>
    <n v="47383.7"/>
  </r>
  <r>
    <s v="PO-00211"/>
    <x v="2"/>
    <d v="2024-01-01T00:00:00"/>
    <m/>
    <s v="Office Supplies"/>
    <x v="1"/>
    <n v="1233"/>
    <n v="86.62"/>
    <n v="76.59"/>
    <n v="65"/>
    <s v="Yes"/>
    <n v="94435.47"/>
  </r>
  <r>
    <s v="PO-00212"/>
    <x v="2"/>
    <d v="2022-11-16T00:00:00"/>
    <d v="2022-11-20T00:00:00"/>
    <s v="Packaging"/>
    <x v="1"/>
    <n v="1912"/>
    <n v="27.94"/>
    <n v="25.59"/>
    <n v="83"/>
    <s v="No"/>
    <n v="48928.08"/>
  </r>
  <r>
    <s v="PO-00213"/>
    <x v="0"/>
    <d v="2023-02-13T00:00:00"/>
    <d v="2023-03-04T00:00:00"/>
    <s v="Packaging"/>
    <x v="1"/>
    <n v="1772"/>
    <n v="30.72"/>
    <n v="27.76"/>
    <n v="46"/>
    <s v="No"/>
    <n v="49190.720000000001"/>
  </r>
  <r>
    <s v="PO-00214"/>
    <x v="4"/>
    <d v="2023-11-19T00:00:00"/>
    <d v="2023-11-29T00:00:00"/>
    <s v="Office Supplies"/>
    <x v="1"/>
    <n v="1316"/>
    <n v="48.11"/>
    <n v="41.9"/>
    <n v="135"/>
    <s v="Yes"/>
    <n v="55140.4"/>
  </r>
  <r>
    <s v="PO-00215"/>
    <x v="4"/>
    <d v="2023-10-28T00:00:00"/>
    <m/>
    <s v="Office Supplies"/>
    <x v="1"/>
    <n v="1159"/>
    <n v="59.24"/>
    <n v="58.08"/>
    <m/>
    <s v="Yes"/>
    <n v="67314.720000000001"/>
  </r>
  <r>
    <s v="PO-00216"/>
    <x v="0"/>
    <d v="2023-01-18T00:00:00"/>
    <d v="2023-01-31T00:00:00"/>
    <s v="Office Supplies"/>
    <x v="1"/>
    <n v="1869"/>
    <n v="69.58"/>
    <n v="67.5"/>
    <n v="31"/>
    <s v="Yes"/>
    <n v="126157.5"/>
  </r>
  <r>
    <s v="PO-00217"/>
    <x v="1"/>
    <d v="2023-03-25T00:00:00"/>
    <d v="2023-04-13T00:00:00"/>
    <s v="Packaging"/>
    <x v="1"/>
    <n v="627"/>
    <n v="46.23"/>
    <n v="42.87"/>
    <m/>
    <s v="Yes"/>
    <n v="26879.489999999998"/>
  </r>
  <r>
    <s v="PO-00218"/>
    <x v="4"/>
    <d v="2023-06-14T00:00:00"/>
    <d v="2023-06-16T00:00:00"/>
    <s v="Raw Materials"/>
    <x v="3"/>
    <n v="731"/>
    <n v="56.02"/>
    <n v="54.78"/>
    <n v="70"/>
    <s v="No"/>
    <n v="40044.18"/>
  </r>
  <r>
    <s v="PO-00219"/>
    <x v="3"/>
    <d v="2023-04-08T00:00:00"/>
    <m/>
    <s v="Office Supplies"/>
    <x v="0"/>
    <n v="606"/>
    <n v="83.07"/>
    <n v="79.22"/>
    <n v="16"/>
    <s v="Yes"/>
    <n v="48007.32"/>
  </r>
  <r>
    <s v="PO-00220"/>
    <x v="4"/>
    <d v="2022-05-04T00:00:00"/>
    <d v="2022-05-14T00:00:00"/>
    <s v="Office Supplies"/>
    <x v="1"/>
    <n v="1647"/>
    <n v="13.57"/>
    <n v="12.33"/>
    <n v="157"/>
    <s v="Yes"/>
    <n v="20307.509999999998"/>
  </r>
  <r>
    <s v="PO-00221"/>
    <x v="1"/>
    <d v="2022-09-11T00:00:00"/>
    <d v="2022-09-19T00:00:00"/>
    <s v="MRO"/>
    <x v="1"/>
    <n v="1062"/>
    <n v="34.03"/>
    <n v="30.46"/>
    <m/>
    <s v="Yes"/>
    <n v="32348.52"/>
  </r>
  <r>
    <s v="PO-00222"/>
    <x v="4"/>
    <d v="2022-08-19T00:00:00"/>
    <d v="2022-08-31T00:00:00"/>
    <s v="Office Supplies"/>
    <x v="1"/>
    <n v="695"/>
    <n v="76.8"/>
    <n v="69.760000000000005"/>
    <m/>
    <s v="No"/>
    <n v="48483.200000000004"/>
  </r>
  <r>
    <s v="PO-00223"/>
    <x v="3"/>
    <d v="2022-03-07T00:00:00"/>
    <d v="2022-03-14T00:00:00"/>
    <s v="MRO"/>
    <x v="1"/>
    <n v="845"/>
    <n v="91.47"/>
    <n v="86.97"/>
    <m/>
    <s v="Yes"/>
    <n v="73489.649999999994"/>
  </r>
  <r>
    <s v="PO-00224"/>
    <x v="2"/>
    <d v="2022-12-13T00:00:00"/>
    <d v="2022-12-18T00:00:00"/>
    <s v="MRO"/>
    <x v="1"/>
    <n v="1101"/>
    <n v="59.13"/>
    <n v="52.51"/>
    <n v="54"/>
    <s v="Yes"/>
    <n v="57813.509999999995"/>
  </r>
  <r>
    <s v="PO-00225"/>
    <x v="2"/>
    <d v="2022-01-22T00:00:00"/>
    <d v="2022-01-24T00:00:00"/>
    <s v="Raw Materials"/>
    <x v="1"/>
    <n v="1693"/>
    <n v="57.89"/>
    <n v="49.84"/>
    <n v="88"/>
    <s v="Yes"/>
    <n v="84379.12000000001"/>
  </r>
  <r>
    <s v="PO-00226"/>
    <x v="1"/>
    <d v="2023-08-26T00:00:00"/>
    <d v="2023-09-10T00:00:00"/>
    <s v="Office Supplies"/>
    <x v="0"/>
    <n v="1629"/>
    <n v="21.51"/>
    <n v="19.41"/>
    <n v="250"/>
    <s v="No"/>
    <n v="31618.89"/>
  </r>
  <r>
    <s v="PO-00227"/>
    <x v="1"/>
    <d v="2023-07-22T00:00:00"/>
    <d v="2023-08-03T00:00:00"/>
    <s v="Raw Materials"/>
    <x v="1"/>
    <n v="1413"/>
    <n v="54.79"/>
    <n v="50.42"/>
    <m/>
    <s v="Yes"/>
    <n v="71243.460000000006"/>
  </r>
  <r>
    <s v="PO-00228"/>
    <x v="3"/>
    <d v="2022-08-24T00:00:00"/>
    <d v="2022-08-27T00:00:00"/>
    <s v="Packaging"/>
    <x v="1"/>
    <n v="1871"/>
    <n v="59.96"/>
    <n v="58.54"/>
    <n v="47"/>
    <s v="Yes"/>
    <n v="109528.34"/>
  </r>
  <r>
    <s v="PO-00229"/>
    <x v="2"/>
    <d v="2023-08-26T00:00:00"/>
    <m/>
    <s v="Raw Materials"/>
    <x v="1"/>
    <n v="1404"/>
    <n v="34.85"/>
    <n v="30.5"/>
    <n v="78"/>
    <s v="Yes"/>
    <n v="42822"/>
  </r>
  <r>
    <s v="PO-00230"/>
    <x v="2"/>
    <d v="2022-08-14T00:00:00"/>
    <d v="2022-08-28T00:00:00"/>
    <s v="Electronics"/>
    <x v="1"/>
    <n v="1713"/>
    <n v="35.43"/>
    <n v="34.11"/>
    <n v="74"/>
    <s v="Yes"/>
    <n v="58430.43"/>
  </r>
  <r>
    <s v="PO-00231"/>
    <x v="2"/>
    <d v="2022-01-08T00:00:00"/>
    <d v="2022-01-13T00:00:00"/>
    <s v="Electronics"/>
    <x v="1"/>
    <n v="1579"/>
    <n v="43.96"/>
    <n v="43.41"/>
    <n v="74"/>
    <s v="Yes"/>
    <n v="68544.39"/>
  </r>
  <r>
    <s v="PO-00232"/>
    <x v="2"/>
    <d v="2022-03-14T00:00:00"/>
    <d v="2022-03-26T00:00:00"/>
    <s v="Electronics"/>
    <x v="1"/>
    <n v="1421"/>
    <n v="11.92"/>
    <n v="11.72"/>
    <n v="76"/>
    <s v="Yes"/>
    <n v="16654.120000000003"/>
  </r>
  <r>
    <s v="PO-00233"/>
    <x v="3"/>
    <d v="2023-12-26T00:00:00"/>
    <d v="2024-01-04T00:00:00"/>
    <s v="MRO"/>
    <x v="1"/>
    <n v="1546"/>
    <n v="43.47"/>
    <n v="37.369999999999997"/>
    <n v="53"/>
    <s v="Yes"/>
    <n v="57774.02"/>
  </r>
  <r>
    <s v="PO-00234"/>
    <x v="1"/>
    <d v="2023-10-09T00:00:00"/>
    <d v="2023-10-18T00:00:00"/>
    <s v="Electronics"/>
    <x v="1"/>
    <n v="1304"/>
    <n v="32.08"/>
    <n v="29.36"/>
    <m/>
    <s v="Yes"/>
    <n v="38285.440000000002"/>
  </r>
  <r>
    <s v="PO-00235"/>
    <x v="1"/>
    <d v="2022-03-02T00:00:00"/>
    <m/>
    <s v="Raw Materials"/>
    <x v="1"/>
    <n v="239"/>
    <n v="39.869999999999997"/>
    <n v="35.47"/>
    <n v="32"/>
    <s v="Yes"/>
    <n v="8477.33"/>
  </r>
  <r>
    <s v="PO-00236"/>
    <x v="0"/>
    <d v="2022-08-23T00:00:00"/>
    <m/>
    <s v="Office Supplies"/>
    <x v="1"/>
    <n v="1298"/>
    <n v="21.51"/>
    <n v="20.83"/>
    <m/>
    <s v="Yes"/>
    <n v="27037.339999999997"/>
  </r>
  <r>
    <s v="PO-00237"/>
    <x v="1"/>
    <d v="2022-03-11T00:00:00"/>
    <m/>
    <s v="MRO"/>
    <x v="1"/>
    <n v="1458"/>
    <n v="91.05"/>
    <n v="81.56"/>
    <n v="220"/>
    <s v="Yes"/>
    <n v="118914.48000000001"/>
  </r>
  <r>
    <s v="PO-00238"/>
    <x v="2"/>
    <d v="2022-02-02T00:00:00"/>
    <d v="2022-02-13T00:00:00"/>
    <s v="MRO"/>
    <x v="1"/>
    <n v="1450"/>
    <n v="63.74"/>
    <n v="59.11"/>
    <n v="71"/>
    <s v="Yes"/>
    <n v="85709.5"/>
  </r>
  <r>
    <s v="PO-00239"/>
    <x v="4"/>
    <d v="2022-12-05T00:00:00"/>
    <d v="2022-12-20T00:00:00"/>
    <s v="Electronics"/>
    <x v="1"/>
    <n v="1356"/>
    <n v="75.03"/>
    <n v="63.86"/>
    <n v="131"/>
    <s v="Yes"/>
    <n v="86594.16"/>
  </r>
  <r>
    <s v="PO-00240"/>
    <x v="2"/>
    <d v="2022-03-14T00:00:00"/>
    <m/>
    <s v="Packaging"/>
    <x v="1"/>
    <n v="682"/>
    <n v="81.84"/>
    <n v="71.86"/>
    <n v="40"/>
    <s v="Yes"/>
    <n v="49008.52"/>
  </r>
  <r>
    <s v="PO-00241"/>
    <x v="2"/>
    <d v="2023-06-11T00:00:00"/>
    <d v="2023-06-19T00:00:00"/>
    <s v="Packaging"/>
    <x v="1"/>
    <n v="677"/>
    <n v="59.52"/>
    <n v="55.29"/>
    <n v="39"/>
    <s v="Yes"/>
    <n v="37431.33"/>
  </r>
  <r>
    <s v="PO-00242"/>
    <x v="1"/>
    <d v="2022-09-01T00:00:00"/>
    <d v="2022-09-14T00:00:00"/>
    <s v="Office Supplies"/>
    <x v="1"/>
    <n v="1022"/>
    <n v="18.54"/>
    <n v="16.55"/>
    <n v="150"/>
    <s v="Yes"/>
    <n v="16914.100000000002"/>
  </r>
  <r>
    <s v="PO-00243"/>
    <x v="0"/>
    <d v="2022-10-13T00:00:00"/>
    <m/>
    <s v="Raw Materials"/>
    <x v="1"/>
    <n v="1818"/>
    <n v="60.96"/>
    <n v="57.13"/>
    <n v="41"/>
    <s v="Yes"/>
    <n v="103862.34000000001"/>
  </r>
  <r>
    <s v="PO-00244"/>
    <x v="3"/>
    <d v="2023-11-17T00:00:00"/>
    <d v="2023-11-29T00:00:00"/>
    <s v="Electronics"/>
    <x v="1"/>
    <n v="1332"/>
    <n v="69.73"/>
    <n v="63.8"/>
    <n v="41"/>
    <s v="Yes"/>
    <n v="84981.599999999991"/>
  </r>
  <r>
    <s v="PO-00245"/>
    <x v="4"/>
    <d v="2023-05-13T00:00:00"/>
    <d v="2023-05-26T00:00:00"/>
    <s v="Raw Materials"/>
    <x v="1"/>
    <n v="1432"/>
    <n v="83.26"/>
    <n v="77.67"/>
    <n v="174"/>
    <s v="Yes"/>
    <n v="111223.44"/>
  </r>
  <r>
    <s v="PO-00246"/>
    <x v="4"/>
    <d v="2022-08-08T00:00:00"/>
    <d v="2022-08-26T00:00:00"/>
    <s v="Packaging"/>
    <x v="3"/>
    <n v="759"/>
    <n v="50.56"/>
    <n v="46.47"/>
    <n v="63"/>
    <s v="No"/>
    <n v="35270.729999999996"/>
  </r>
  <r>
    <s v="PO-00247"/>
    <x v="0"/>
    <d v="2023-07-07T00:00:00"/>
    <d v="2023-07-19T00:00:00"/>
    <s v="Packaging"/>
    <x v="1"/>
    <n v="1529"/>
    <n v="23.42"/>
    <n v="22.44"/>
    <n v="30"/>
    <s v="Yes"/>
    <n v="34310.76"/>
  </r>
  <r>
    <s v="PO-00248"/>
    <x v="2"/>
    <d v="2022-05-16T00:00:00"/>
    <d v="2022-05-25T00:00:00"/>
    <s v="Electronics"/>
    <x v="1"/>
    <n v="1484"/>
    <n v="36.25"/>
    <n v="31.8"/>
    <n v="61"/>
    <s v="Yes"/>
    <n v="47191.200000000004"/>
  </r>
  <r>
    <s v="PO-00249"/>
    <x v="3"/>
    <d v="2023-08-08T00:00:00"/>
    <d v="2023-08-20T00:00:00"/>
    <s v="Packaging"/>
    <x v="1"/>
    <n v="698"/>
    <n v="46.73"/>
    <n v="45.61"/>
    <n v="15"/>
    <s v="Yes"/>
    <n v="31835.78"/>
  </r>
  <r>
    <s v="PO-00250"/>
    <x v="3"/>
    <d v="2023-08-14T00:00:00"/>
    <d v="2023-08-22T00:00:00"/>
    <s v="Packaging"/>
    <x v="3"/>
    <n v="367"/>
    <n v="74.61"/>
    <n v="71.36"/>
    <n v="13"/>
    <s v="Yes"/>
    <n v="26189.119999999999"/>
  </r>
  <r>
    <s v="PO-00251"/>
    <x v="3"/>
    <d v="2023-04-30T00:00:00"/>
    <d v="2023-05-20T00:00:00"/>
    <s v="Office Supplies"/>
    <x v="2"/>
    <n v="1750"/>
    <n v="65.97"/>
    <n v="58.34"/>
    <n v="50"/>
    <s v="Yes"/>
    <n v="102095"/>
  </r>
  <r>
    <s v="PO-00252"/>
    <x v="1"/>
    <d v="2022-09-06T00:00:00"/>
    <d v="2022-09-24T00:00:00"/>
    <s v="Office Supplies"/>
    <x v="2"/>
    <n v="1298"/>
    <n v="43.73"/>
    <n v="37.21"/>
    <m/>
    <s v="No"/>
    <n v="48298.58"/>
  </r>
  <r>
    <s v="PO-00253"/>
    <x v="2"/>
    <d v="2023-04-30T00:00:00"/>
    <d v="2023-05-20T00:00:00"/>
    <s v="Packaging"/>
    <x v="1"/>
    <n v="1892"/>
    <n v="106.2"/>
    <n v="96.37"/>
    <n v="93"/>
    <s v="Yes"/>
    <n v="182332.04"/>
  </r>
  <r>
    <s v="PO-00254"/>
    <x v="4"/>
    <d v="2023-02-21T00:00:00"/>
    <d v="2023-02-24T00:00:00"/>
    <s v="Electronics"/>
    <x v="1"/>
    <n v="1307"/>
    <n v="68.709999999999994"/>
    <n v="60.64"/>
    <n v="141"/>
    <s v="Yes"/>
    <n v="79256.479999999996"/>
  </r>
  <r>
    <s v="PO-00255"/>
    <x v="4"/>
    <d v="2022-07-14T00:00:00"/>
    <d v="2022-07-29T00:00:00"/>
    <s v="Electronics"/>
    <x v="1"/>
    <n v="733"/>
    <n v="32.29"/>
    <n v="29.01"/>
    <n v="78"/>
    <s v="Yes"/>
    <n v="21264.33"/>
  </r>
  <r>
    <s v="PO-00256"/>
    <x v="2"/>
    <d v="2022-04-07T00:00:00"/>
    <m/>
    <s v="Packaging"/>
    <x v="1"/>
    <n v="713"/>
    <n v="19.45"/>
    <n v="18.82"/>
    <n v="31"/>
    <s v="Yes"/>
    <n v="13418.66"/>
  </r>
  <r>
    <s v="PO-00257"/>
    <x v="4"/>
    <d v="2022-04-10T00:00:00"/>
    <d v="2022-04-24T00:00:00"/>
    <s v="Packaging"/>
    <x v="1"/>
    <n v="1900"/>
    <n v="24.11"/>
    <n v="23.45"/>
    <n v="188"/>
    <s v="Yes"/>
    <n v="44555"/>
  </r>
  <r>
    <s v="PO-00258"/>
    <x v="1"/>
    <d v="2023-11-06T00:00:00"/>
    <d v="2023-11-08T00:00:00"/>
    <s v="MRO"/>
    <x v="0"/>
    <n v="1447"/>
    <n v="35.67"/>
    <n v="35.07"/>
    <n v="224"/>
    <s v="No"/>
    <n v="50746.29"/>
  </r>
  <r>
    <s v="PO-00259"/>
    <x v="3"/>
    <d v="2023-03-18T00:00:00"/>
    <m/>
    <s v="Office Supplies"/>
    <x v="1"/>
    <n v="1745"/>
    <n v="26.17"/>
    <n v="22.25"/>
    <n v="55"/>
    <s v="Yes"/>
    <n v="38826.25"/>
  </r>
  <r>
    <s v="PO-00260"/>
    <x v="4"/>
    <d v="2022-12-29T00:00:00"/>
    <d v="2023-01-14T00:00:00"/>
    <s v="Office Supplies"/>
    <x v="1"/>
    <n v="1681"/>
    <n v="28.26"/>
    <n v="26.62"/>
    <n v="143"/>
    <s v="Yes"/>
    <n v="44748.22"/>
  </r>
  <r>
    <s v="PO-00261"/>
    <x v="1"/>
    <d v="2023-03-10T00:00:00"/>
    <d v="2023-03-18T00:00:00"/>
    <s v="Electronics"/>
    <x v="1"/>
    <n v="1545"/>
    <n v="38.15"/>
    <n v="36.96"/>
    <n v="214"/>
    <s v="Yes"/>
    <n v="57103.200000000004"/>
  </r>
  <r>
    <s v="PO-00262"/>
    <x v="3"/>
    <d v="2023-02-25T00:00:00"/>
    <d v="2023-03-02T00:00:00"/>
    <s v="Raw Materials"/>
    <x v="1"/>
    <n v="1306"/>
    <n v="27.27"/>
    <n v="25.96"/>
    <n v="39"/>
    <s v="Yes"/>
    <n v="33903.760000000002"/>
  </r>
  <r>
    <s v="PO-00263"/>
    <x v="2"/>
    <d v="2023-04-24T00:00:00"/>
    <d v="2023-05-06T00:00:00"/>
    <s v="Raw Materials"/>
    <x v="1"/>
    <n v="1765"/>
    <n v="97.51"/>
    <n v="84.3"/>
    <n v="65"/>
    <s v="Yes"/>
    <n v="148789.5"/>
  </r>
  <r>
    <s v="PO-00264"/>
    <x v="2"/>
    <d v="2022-02-25T00:00:00"/>
    <d v="2022-03-15T00:00:00"/>
    <s v="Packaging"/>
    <x v="0"/>
    <n v="1186"/>
    <n v="17.309999999999999"/>
    <n v="16"/>
    <n v="64"/>
    <s v="Yes"/>
    <n v="18976"/>
  </r>
  <r>
    <s v="PO-00265"/>
    <x v="1"/>
    <d v="2023-11-21T00:00:00"/>
    <d v="2023-11-26T00:00:00"/>
    <s v="Packaging"/>
    <x v="1"/>
    <n v="1903"/>
    <n v="63.5"/>
    <n v="56.09"/>
    <n v="254"/>
    <s v="Yes"/>
    <n v="106739.27"/>
  </r>
  <r>
    <s v="PO-00266"/>
    <x v="1"/>
    <d v="2023-11-01T00:00:00"/>
    <d v="2023-11-05T00:00:00"/>
    <s v="MRO"/>
    <x v="1"/>
    <n v="1570"/>
    <n v="52.1"/>
    <n v="47.87"/>
    <m/>
    <s v="No"/>
    <n v="75155.899999999994"/>
  </r>
  <r>
    <s v="PO-00267"/>
    <x v="1"/>
    <d v="2023-10-24T00:00:00"/>
    <d v="2023-11-13T00:00:00"/>
    <s v="MRO"/>
    <x v="1"/>
    <n v="491"/>
    <n v="108.75"/>
    <n v="93.35"/>
    <m/>
    <s v="No"/>
    <n v="45834.85"/>
  </r>
  <r>
    <s v="PO-00268"/>
    <x v="4"/>
    <d v="2022-04-11T00:00:00"/>
    <d v="2022-04-20T00:00:00"/>
    <s v="Electronics"/>
    <x v="2"/>
    <n v="613"/>
    <n v="20.38"/>
    <n v="20.170000000000002"/>
    <n v="58"/>
    <s v="Yes"/>
    <n v="12364.210000000001"/>
  </r>
  <r>
    <s v="PO-00269"/>
    <x v="2"/>
    <d v="2022-03-04T00:00:00"/>
    <d v="2022-03-16T00:00:00"/>
    <s v="Raw Materials"/>
    <x v="2"/>
    <n v="1341"/>
    <n v="46.27"/>
    <n v="43.94"/>
    <n v="63"/>
    <s v="Yes"/>
    <n v="58923.539999999994"/>
  </r>
  <r>
    <s v="PO-00270"/>
    <x v="4"/>
    <d v="2023-02-17T00:00:00"/>
    <d v="2023-03-04T00:00:00"/>
    <s v="MRO"/>
    <x v="2"/>
    <n v="1583"/>
    <n v="103.57"/>
    <n v="89.38"/>
    <n v="164"/>
    <s v="Yes"/>
    <n v="141488.53999999998"/>
  </r>
  <r>
    <s v="PO-00271"/>
    <x v="4"/>
    <d v="2022-12-14T00:00:00"/>
    <m/>
    <s v="Raw Materials"/>
    <x v="0"/>
    <n v="1880"/>
    <n v="92.73"/>
    <n v="90.78"/>
    <n v="173"/>
    <s v="Yes"/>
    <n v="170666.4"/>
  </r>
  <r>
    <s v="PO-00272"/>
    <x v="3"/>
    <d v="2022-04-22T00:00:00"/>
    <d v="2022-04-26T00:00:00"/>
    <s v="MRO"/>
    <x v="1"/>
    <n v="1459"/>
    <n v="84.79"/>
    <n v="82.72"/>
    <n v="47"/>
    <s v="Yes"/>
    <n v="120688.48"/>
  </r>
  <r>
    <s v="PO-00273"/>
    <x v="1"/>
    <d v="2022-09-12T00:00:00"/>
    <m/>
    <s v="Office Supplies"/>
    <x v="1"/>
    <n v="1460"/>
    <n v="34.54"/>
    <n v="31.87"/>
    <n v="208"/>
    <s v="No"/>
    <n v="46530.200000000004"/>
  </r>
  <r>
    <s v="PO-00274"/>
    <x v="4"/>
    <d v="2022-07-16T00:00:00"/>
    <d v="2022-07-28T00:00:00"/>
    <s v="Packaging"/>
    <x v="2"/>
    <n v="1186"/>
    <n v="26.14"/>
    <n v="24.78"/>
    <n v="112"/>
    <s v="Yes"/>
    <n v="29389.08"/>
  </r>
  <r>
    <s v="PO-00275"/>
    <x v="3"/>
    <d v="2022-07-14T00:00:00"/>
    <d v="2022-07-23T00:00:00"/>
    <s v="MRO"/>
    <x v="3"/>
    <n v="1686"/>
    <n v="72.28"/>
    <n v="65.209999999999994"/>
    <n v="53"/>
    <s v="Yes"/>
    <n v="109944.05999999998"/>
  </r>
  <r>
    <s v="PO-00276"/>
    <x v="0"/>
    <d v="2023-07-04T00:00:00"/>
    <d v="2023-07-08T00:00:00"/>
    <s v="MRO"/>
    <x v="1"/>
    <n v="1698"/>
    <n v="102.07"/>
    <n v="100.69"/>
    <n v="28"/>
    <s v="Yes"/>
    <n v="170971.62"/>
  </r>
  <r>
    <s v="PO-00277"/>
    <x v="3"/>
    <d v="2023-04-05T00:00:00"/>
    <m/>
    <s v="Electronics"/>
    <x v="1"/>
    <n v="1001"/>
    <n v="64.62"/>
    <n v="55.7"/>
    <n v="32"/>
    <s v="Yes"/>
    <n v="55755.700000000004"/>
  </r>
  <r>
    <s v="PO-00278"/>
    <x v="0"/>
    <d v="2022-05-24T00:00:00"/>
    <d v="2022-05-27T00:00:00"/>
    <s v="Office Supplies"/>
    <x v="1"/>
    <n v="1154"/>
    <n v="62.67"/>
    <n v="54.11"/>
    <n v="25"/>
    <s v="Yes"/>
    <n v="62442.94"/>
  </r>
  <r>
    <s v="PO-00279"/>
    <x v="0"/>
    <d v="2023-03-09T00:00:00"/>
    <d v="2023-03-29T00:00:00"/>
    <s v="Packaging"/>
    <x v="0"/>
    <n v="748"/>
    <n v="37.659999999999997"/>
    <n v="32.71"/>
    <m/>
    <s v="No"/>
    <n v="24467.08"/>
  </r>
  <r>
    <s v="PO-00280"/>
    <x v="0"/>
    <d v="2022-07-07T00:00:00"/>
    <m/>
    <s v="Office Supplies"/>
    <x v="1"/>
    <n v="162"/>
    <n v="81.63"/>
    <n v="78.760000000000005"/>
    <n v="2"/>
    <s v="Yes"/>
    <n v="12759.12"/>
  </r>
  <r>
    <s v="PO-00281"/>
    <x v="0"/>
    <d v="2022-10-13T00:00:00"/>
    <d v="2022-10-24T00:00:00"/>
    <s v="Packaging"/>
    <x v="1"/>
    <n v="51"/>
    <n v="28.04"/>
    <n v="24.13"/>
    <n v="0"/>
    <s v="Yes"/>
    <n v="1230.6299999999999"/>
  </r>
  <r>
    <s v="PO-00282"/>
    <x v="1"/>
    <d v="2023-04-19T00:00:00"/>
    <d v="2023-04-24T00:00:00"/>
    <s v="Office Supplies"/>
    <x v="1"/>
    <n v="691"/>
    <n v="42.07"/>
    <n v="39.1"/>
    <n v="106"/>
    <s v="Yes"/>
    <n v="27018.100000000002"/>
  </r>
  <r>
    <s v="PO-00283"/>
    <x v="4"/>
    <d v="2022-09-13T00:00:00"/>
    <d v="2022-09-20T00:00:00"/>
    <s v="Office Supplies"/>
    <x v="1"/>
    <n v="269"/>
    <n v="50.22"/>
    <n v="45.75"/>
    <n v="32"/>
    <s v="No"/>
    <n v="12306.75"/>
  </r>
  <r>
    <s v="PO-00284"/>
    <x v="4"/>
    <d v="2022-03-19T00:00:00"/>
    <d v="2022-04-06T00:00:00"/>
    <s v="Electronics"/>
    <x v="3"/>
    <n v="1639"/>
    <n v="56.24"/>
    <n v="55.4"/>
    <n v="147"/>
    <s v="Yes"/>
    <n v="90800.599999999991"/>
  </r>
  <r>
    <s v="PO-00285"/>
    <x v="0"/>
    <d v="2023-03-30T00:00:00"/>
    <d v="2023-04-06T00:00:00"/>
    <s v="Raw Materials"/>
    <x v="1"/>
    <n v="904"/>
    <n v="34.04"/>
    <n v="30.06"/>
    <n v="26"/>
    <s v="Yes"/>
    <n v="27174.239999999998"/>
  </r>
  <r>
    <s v="PO-00286"/>
    <x v="4"/>
    <d v="2023-07-18T00:00:00"/>
    <d v="2023-07-26T00:00:00"/>
    <s v="Office Supplies"/>
    <x v="1"/>
    <n v="1809"/>
    <n v="22.17"/>
    <n v="19.649999999999999"/>
    <m/>
    <s v="Yes"/>
    <n v="35546.85"/>
  </r>
  <r>
    <s v="PO-00287"/>
    <x v="0"/>
    <d v="2022-04-11T00:00:00"/>
    <d v="2022-04-16T00:00:00"/>
    <s v="Packaging"/>
    <x v="1"/>
    <n v="1298"/>
    <n v="65.930000000000007"/>
    <n v="58.95"/>
    <m/>
    <s v="Yes"/>
    <n v="76517.100000000006"/>
  </r>
  <r>
    <s v="PO-00288"/>
    <x v="4"/>
    <d v="2022-02-21T00:00:00"/>
    <d v="2022-03-13T00:00:00"/>
    <s v="Packaging"/>
    <x v="1"/>
    <n v="434"/>
    <n v="36.159999999999997"/>
    <n v="34.79"/>
    <n v="41"/>
    <s v="Yes"/>
    <n v="15098.859999999999"/>
  </r>
  <r>
    <s v="PO-00289"/>
    <x v="3"/>
    <d v="2023-10-30T00:00:00"/>
    <d v="2023-11-04T00:00:00"/>
    <s v="Electronics"/>
    <x v="1"/>
    <n v="1476"/>
    <n v="68.849999999999994"/>
    <n v="65.28"/>
    <n v="43"/>
    <s v="Yes"/>
    <n v="96353.279999999999"/>
  </r>
  <r>
    <s v="PO-00290"/>
    <x v="1"/>
    <d v="2023-07-08T00:00:00"/>
    <m/>
    <s v="Raw Materials"/>
    <x v="2"/>
    <n v="1711"/>
    <n v="26.04"/>
    <n v="24.81"/>
    <n v="290"/>
    <s v="Yes"/>
    <n v="42449.909999999996"/>
  </r>
  <r>
    <s v="PO-00291"/>
    <x v="2"/>
    <d v="2022-01-16T00:00:00"/>
    <d v="2022-01-22T00:00:00"/>
    <s v="Packaging"/>
    <x v="1"/>
    <n v="1203"/>
    <n v="53.3"/>
    <n v="47.68"/>
    <n v="49"/>
    <s v="Yes"/>
    <n v="57359.040000000001"/>
  </r>
  <r>
    <s v="PO-00292"/>
    <x v="0"/>
    <d v="2022-04-06T00:00:00"/>
    <d v="2022-04-07T00:00:00"/>
    <s v="Electronics"/>
    <x v="1"/>
    <n v="1126"/>
    <n v="58.8"/>
    <n v="52.22"/>
    <m/>
    <s v="Yes"/>
    <n v="58799.72"/>
  </r>
  <r>
    <s v="PO-00293"/>
    <x v="3"/>
    <d v="2022-08-31T00:00:00"/>
    <d v="2022-09-12T00:00:00"/>
    <s v="Packaging"/>
    <x v="1"/>
    <n v="1757"/>
    <n v="15.18"/>
    <n v="13.06"/>
    <n v="63"/>
    <s v="Yes"/>
    <n v="22946.420000000002"/>
  </r>
  <r>
    <s v="PO-00294"/>
    <x v="3"/>
    <d v="2022-06-20T00:00:00"/>
    <d v="2022-06-28T00:00:00"/>
    <s v="MRO"/>
    <x v="1"/>
    <n v="779"/>
    <n v="41.3"/>
    <n v="36.28"/>
    <n v="20"/>
    <s v="Yes"/>
    <n v="28262.120000000003"/>
  </r>
  <r>
    <s v="PO-00295"/>
    <x v="1"/>
    <d v="2023-02-21T00:00:00"/>
    <d v="2023-02-22T00:00:00"/>
    <s v="Office Supplies"/>
    <x v="1"/>
    <n v="1745"/>
    <n v="23.53"/>
    <n v="22.57"/>
    <n v="282"/>
    <s v="No"/>
    <n v="39384.65"/>
  </r>
  <r>
    <s v="PO-00296"/>
    <x v="1"/>
    <d v="2023-05-13T00:00:00"/>
    <d v="2023-05-15T00:00:00"/>
    <s v="Raw Materials"/>
    <x v="1"/>
    <n v="1783"/>
    <n v="16.96"/>
    <n v="15.8"/>
    <n v="295"/>
    <s v="Yes"/>
    <n v="28171.4"/>
  </r>
  <r>
    <s v="PO-00297"/>
    <x v="0"/>
    <d v="2023-05-08T00:00:00"/>
    <d v="2023-05-22T00:00:00"/>
    <s v="Office Supplies"/>
    <x v="2"/>
    <n v="1489"/>
    <n v="107.02"/>
    <n v="93.3"/>
    <m/>
    <s v="Yes"/>
    <n v="138923.69999999998"/>
  </r>
  <r>
    <s v="PO-00298"/>
    <x v="0"/>
    <d v="2022-08-07T00:00:00"/>
    <d v="2022-08-10T00:00:00"/>
    <s v="Office Supplies"/>
    <x v="1"/>
    <n v="296"/>
    <n v="40.380000000000003"/>
    <n v="35.25"/>
    <m/>
    <s v="Yes"/>
    <n v="10434"/>
  </r>
  <r>
    <s v="PO-00299"/>
    <x v="3"/>
    <d v="2023-02-15T00:00:00"/>
    <d v="2023-02-27T00:00:00"/>
    <s v="MRO"/>
    <x v="1"/>
    <n v="885"/>
    <n v="88.28"/>
    <n v="80.8"/>
    <n v="31"/>
    <s v="Yes"/>
    <n v="71508"/>
  </r>
  <r>
    <s v="PO-00300"/>
    <x v="3"/>
    <d v="2022-03-02T00:00:00"/>
    <d v="2022-03-06T00:00:00"/>
    <s v="Raw Materials"/>
    <x v="3"/>
    <n v="1512"/>
    <n v="33.25"/>
    <n v="30.15"/>
    <n v="53"/>
    <s v="Yes"/>
    <n v="45586.799999999996"/>
  </r>
  <r>
    <s v="PO-00301"/>
    <x v="1"/>
    <d v="2022-06-18T00:00:00"/>
    <d v="2022-06-26T00:00:00"/>
    <s v="Office Supplies"/>
    <x v="1"/>
    <n v="252"/>
    <n v="73.12"/>
    <n v="67.64"/>
    <m/>
    <s v="No"/>
    <n v="17045.28"/>
  </r>
  <r>
    <s v="PO-00302"/>
    <x v="0"/>
    <d v="2023-01-24T00:00:00"/>
    <m/>
    <s v="Electronics"/>
    <x v="0"/>
    <n v="1257"/>
    <n v="83.13"/>
    <n v="81.89"/>
    <n v="30"/>
    <s v="Yes"/>
    <n v="102935.73"/>
  </r>
  <r>
    <s v="PO-00303"/>
    <x v="0"/>
    <d v="2022-01-03T00:00:00"/>
    <d v="2022-01-20T00:00:00"/>
    <s v="Packaging"/>
    <x v="1"/>
    <n v="172"/>
    <n v="63.61"/>
    <n v="55.92"/>
    <n v="4"/>
    <s v="Yes"/>
    <n v="9618.24"/>
  </r>
  <r>
    <s v="PO-00304"/>
    <x v="3"/>
    <d v="2023-02-04T00:00:00"/>
    <d v="2023-02-05T00:00:00"/>
    <s v="Packaging"/>
    <x v="3"/>
    <n v="450"/>
    <n v="55.85"/>
    <n v="49.88"/>
    <n v="9"/>
    <s v="Yes"/>
    <n v="22446"/>
  </r>
  <r>
    <s v="PO-00305"/>
    <x v="2"/>
    <d v="2022-09-29T00:00:00"/>
    <d v="2022-10-15T00:00:00"/>
    <s v="Electronics"/>
    <x v="1"/>
    <n v="816"/>
    <n v="48.95"/>
    <n v="43.42"/>
    <n v="45"/>
    <s v="Yes"/>
    <n v="35430.720000000001"/>
  </r>
  <r>
    <s v="PO-00306"/>
    <x v="3"/>
    <d v="2023-04-11T00:00:00"/>
    <d v="2023-04-25T00:00:00"/>
    <s v="Packaging"/>
    <x v="1"/>
    <n v="343"/>
    <n v="44.5"/>
    <n v="38.57"/>
    <n v="7"/>
    <s v="Yes"/>
    <n v="13229.51"/>
  </r>
  <r>
    <s v="PO-00307"/>
    <x v="2"/>
    <d v="2022-10-20T00:00:00"/>
    <d v="2022-11-05T00:00:00"/>
    <s v="MRO"/>
    <x v="1"/>
    <n v="329"/>
    <n v="97.87"/>
    <n v="85.35"/>
    <n v="21"/>
    <s v="No"/>
    <n v="28080.149999999998"/>
  </r>
  <r>
    <s v="PO-00308"/>
    <x v="0"/>
    <d v="2023-03-10T00:00:00"/>
    <d v="2023-03-25T00:00:00"/>
    <s v="Electronics"/>
    <x v="1"/>
    <n v="1910"/>
    <n v="90.69"/>
    <n v="85.8"/>
    <m/>
    <s v="Yes"/>
    <n v="163878"/>
  </r>
  <r>
    <s v="PO-00309"/>
    <x v="3"/>
    <d v="2023-12-15T00:00:00"/>
    <d v="2023-12-18T00:00:00"/>
    <s v="MRO"/>
    <x v="1"/>
    <n v="933"/>
    <n v="107.99"/>
    <n v="104.29"/>
    <n v="29"/>
    <s v="Yes"/>
    <n v="97302.57"/>
  </r>
  <r>
    <s v="PO-00310"/>
    <x v="1"/>
    <d v="2023-07-24T00:00:00"/>
    <d v="2023-07-29T00:00:00"/>
    <s v="Raw Materials"/>
    <x v="1"/>
    <n v="1683"/>
    <n v="23.09"/>
    <n v="21.88"/>
    <n v="253"/>
    <s v="Yes"/>
    <n v="36824.04"/>
  </r>
  <r>
    <s v="PO-00311"/>
    <x v="4"/>
    <d v="2023-11-09T00:00:00"/>
    <d v="2023-11-18T00:00:00"/>
    <s v="Packaging"/>
    <x v="3"/>
    <n v="247"/>
    <n v="84.11"/>
    <n v="71.97"/>
    <m/>
    <s v="Yes"/>
    <n v="17776.59"/>
  </r>
  <r>
    <s v="PO-00312"/>
    <x v="0"/>
    <d v="2023-05-14T00:00:00"/>
    <d v="2023-06-02T00:00:00"/>
    <s v="MRO"/>
    <x v="1"/>
    <n v="1031"/>
    <n v="102.01"/>
    <n v="98.65"/>
    <m/>
    <s v="Yes"/>
    <n v="101708.15000000001"/>
  </r>
  <r>
    <s v="PO-00313"/>
    <x v="0"/>
    <d v="2022-06-08T00:00:00"/>
    <d v="2022-06-19T00:00:00"/>
    <s v="Packaging"/>
    <x v="1"/>
    <n v="1980"/>
    <n v="26.97"/>
    <n v="24.16"/>
    <n v="41"/>
    <s v="Yes"/>
    <n v="47836.800000000003"/>
  </r>
  <r>
    <s v="PO-00314"/>
    <x v="3"/>
    <d v="2022-07-14T00:00:00"/>
    <d v="2022-08-03T00:00:00"/>
    <s v="Raw Materials"/>
    <x v="1"/>
    <n v="1584"/>
    <n v="16.46"/>
    <n v="14.2"/>
    <n v="57"/>
    <s v="Yes"/>
    <n v="22492.799999999999"/>
  </r>
  <r>
    <s v="PO-00315"/>
    <x v="4"/>
    <d v="2022-10-31T00:00:00"/>
    <d v="2022-11-15T00:00:00"/>
    <s v="Office Supplies"/>
    <x v="1"/>
    <n v="801"/>
    <n v="80.150000000000006"/>
    <n v="70.91"/>
    <m/>
    <s v="Yes"/>
    <n v="56798.909999999996"/>
  </r>
  <r>
    <s v="PO-00316"/>
    <x v="4"/>
    <d v="2022-08-11T00:00:00"/>
    <d v="2022-08-25T00:00:00"/>
    <s v="Packaging"/>
    <x v="1"/>
    <n v="193"/>
    <n v="63.86"/>
    <n v="57.46"/>
    <m/>
    <s v="Yes"/>
    <n v="11089.78"/>
  </r>
  <r>
    <s v="PO-00317"/>
    <x v="4"/>
    <d v="2022-03-01T00:00:00"/>
    <d v="2022-03-05T00:00:00"/>
    <s v="Raw Materials"/>
    <x v="1"/>
    <n v="658"/>
    <n v="86.62"/>
    <n v="79.849999999999994"/>
    <n v="72"/>
    <s v="Yes"/>
    <n v="52541.299999999996"/>
  </r>
  <r>
    <s v="PO-00318"/>
    <x v="3"/>
    <d v="2023-08-17T00:00:00"/>
    <d v="2023-09-04T00:00:00"/>
    <s v="Electronics"/>
    <x v="1"/>
    <n v="1274"/>
    <n v="24.72"/>
    <n v="23.36"/>
    <n v="37"/>
    <s v="Yes"/>
    <n v="29760.639999999999"/>
  </r>
  <r>
    <s v="PO-00319"/>
    <x v="3"/>
    <d v="2023-07-10T00:00:00"/>
    <d v="2023-07-17T00:00:00"/>
    <s v="Packaging"/>
    <x v="2"/>
    <n v="1197"/>
    <n v="88.92"/>
    <n v="78.819999999999993"/>
    <n v="31"/>
    <s v="Yes"/>
    <n v="94347.54"/>
  </r>
  <r>
    <s v="PO-00320"/>
    <x v="2"/>
    <d v="2022-03-04T00:00:00"/>
    <d v="2022-03-12T00:00:00"/>
    <s v="Electronics"/>
    <x v="1"/>
    <n v="236"/>
    <n v="28.43"/>
    <n v="28.11"/>
    <n v="11"/>
    <s v="Yes"/>
    <n v="6633.96"/>
  </r>
  <r>
    <s v="PO-00321"/>
    <x v="2"/>
    <d v="2022-11-18T00:00:00"/>
    <d v="2022-12-03T00:00:00"/>
    <s v="Raw Materials"/>
    <x v="2"/>
    <n v="1399"/>
    <n v="25.97"/>
    <n v="22.19"/>
    <n v="62"/>
    <s v="Yes"/>
    <n v="31043.81"/>
  </r>
  <r>
    <s v="PO-00322"/>
    <x v="2"/>
    <d v="2022-02-28T00:00:00"/>
    <d v="2022-03-04T00:00:00"/>
    <s v="Electronics"/>
    <x v="1"/>
    <n v="513"/>
    <n v="24.91"/>
    <n v="22.58"/>
    <n v="29"/>
    <s v="Yes"/>
    <n v="11583.539999999999"/>
  </r>
  <r>
    <s v="PO-00323"/>
    <x v="1"/>
    <d v="2022-02-21T00:00:00"/>
    <d v="2022-03-04T00:00:00"/>
    <s v="MRO"/>
    <x v="1"/>
    <n v="1422"/>
    <n v="83.73"/>
    <n v="76.47"/>
    <n v="198"/>
    <s v="Yes"/>
    <n v="108740.34"/>
  </r>
  <r>
    <s v="PO-00324"/>
    <x v="0"/>
    <d v="2023-08-22T00:00:00"/>
    <d v="2023-09-03T00:00:00"/>
    <s v="Office Supplies"/>
    <x v="1"/>
    <n v="1844"/>
    <n v="76.510000000000005"/>
    <n v="73.05"/>
    <m/>
    <s v="Yes"/>
    <n v="134704.19999999998"/>
  </r>
  <r>
    <s v="PO-00325"/>
    <x v="2"/>
    <d v="2023-05-04T00:00:00"/>
    <m/>
    <s v="Electronics"/>
    <x v="1"/>
    <n v="709"/>
    <n v="61.64"/>
    <n v="54.55"/>
    <n v="41"/>
    <s v="Yes"/>
    <n v="38675.949999999997"/>
  </r>
  <r>
    <s v="PO-00326"/>
    <x v="1"/>
    <d v="2023-05-30T00:00:00"/>
    <d v="2023-06-15T00:00:00"/>
    <s v="MRO"/>
    <x v="1"/>
    <n v="813"/>
    <n v="45.68"/>
    <n v="41.78"/>
    <m/>
    <s v="No"/>
    <n v="33967.14"/>
  </r>
  <r>
    <s v="PO-00327"/>
    <x v="1"/>
    <d v="2023-06-28T00:00:00"/>
    <d v="2023-07-01T00:00:00"/>
    <s v="Office Supplies"/>
    <x v="1"/>
    <n v="1004"/>
    <n v="96.51"/>
    <n v="92.9"/>
    <n v="146"/>
    <s v="No"/>
    <n v="93271.6"/>
  </r>
  <r>
    <s v="PO-00328"/>
    <x v="3"/>
    <d v="2022-06-11T00:00:00"/>
    <d v="2022-06-15T00:00:00"/>
    <s v="Raw Materials"/>
    <x v="1"/>
    <n v="452"/>
    <n v="46.45"/>
    <n v="40.39"/>
    <n v="9"/>
    <s v="Yes"/>
    <n v="18256.28"/>
  </r>
  <r>
    <s v="PO-00329"/>
    <x v="4"/>
    <d v="2022-02-28T00:00:00"/>
    <d v="2022-03-12T00:00:00"/>
    <s v="Raw Materials"/>
    <x v="3"/>
    <n v="1419"/>
    <n v="83.91"/>
    <n v="71.459999999999994"/>
    <n v="137"/>
    <s v="Yes"/>
    <n v="101401.73999999999"/>
  </r>
  <r>
    <s v="PO-00330"/>
    <x v="4"/>
    <d v="2023-06-05T00:00:00"/>
    <d v="2023-06-23T00:00:00"/>
    <s v="Packaging"/>
    <x v="1"/>
    <n v="1584"/>
    <n v="53.73"/>
    <n v="51.92"/>
    <n v="167"/>
    <s v="No"/>
    <n v="82241.279999999999"/>
  </r>
  <r>
    <s v="PO-00331"/>
    <x v="2"/>
    <d v="2022-03-24T00:00:00"/>
    <d v="2022-04-11T00:00:00"/>
    <s v="MRO"/>
    <x v="3"/>
    <n v="196"/>
    <n v="44.36"/>
    <n v="43.81"/>
    <n v="6"/>
    <s v="Yes"/>
    <n v="8586.76"/>
  </r>
  <r>
    <s v="PO-00332"/>
    <x v="0"/>
    <d v="2022-07-10T00:00:00"/>
    <d v="2022-07-14T00:00:00"/>
    <s v="Office Supplies"/>
    <x v="1"/>
    <n v="1221"/>
    <n v="53.19"/>
    <n v="46.18"/>
    <n v="29"/>
    <s v="Yes"/>
    <n v="56385.78"/>
  </r>
  <r>
    <s v="PO-00333"/>
    <x v="0"/>
    <d v="2022-03-12T00:00:00"/>
    <d v="2022-03-26T00:00:00"/>
    <s v="Packaging"/>
    <x v="1"/>
    <n v="913"/>
    <n v="37.5"/>
    <n v="36.200000000000003"/>
    <m/>
    <s v="Yes"/>
    <n v="33050.600000000006"/>
  </r>
  <r>
    <s v="PO-00334"/>
    <x v="0"/>
    <d v="2023-09-02T00:00:00"/>
    <d v="2023-09-04T00:00:00"/>
    <s v="Packaging"/>
    <x v="1"/>
    <n v="1784"/>
    <n v="85.01"/>
    <n v="76.69"/>
    <n v="37"/>
    <s v="Yes"/>
    <n v="136814.96"/>
  </r>
  <r>
    <s v="PO-00335"/>
    <x v="1"/>
    <d v="2022-03-11T00:00:00"/>
    <m/>
    <s v="Raw Materials"/>
    <x v="1"/>
    <n v="1893"/>
    <n v="55.8"/>
    <n v="52.35"/>
    <m/>
    <s v="Yes"/>
    <n v="99098.55"/>
  </r>
  <r>
    <s v="PO-00336"/>
    <x v="1"/>
    <d v="2023-11-23T00:00:00"/>
    <d v="2023-12-05T00:00:00"/>
    <s v="Electronics"/>
    <x v="3"/>
    <n v="538"/>
    <n v="34.299999999999997"/>
    <n v="32.25"/>
    <n v="84"/>
    <s v="No"/>
    <n v="17350.5"/>
  </r>
  <r>
    <s v="PO-00337"/>
    <x v="1"/>
    <d v="2022-08-29T00:00:00"/>
    <d v="2022-09-15T00:00:00"/>
    <s v="Office Supplies"/>
    <x v="3"/>
    <n v="978"/>
    <n v="94.15"/>
    <n v="87.7"/>
    <n v="149"/>
    <s v="No"/>
    <n v="85770.6"/>
  </r>
  <r>
    <s v="PO-00338"/>
    <x v="3"/>
    <d v="2023-02-18T00:00:00"/>
    <d v="2023-03-06T00:00:00"/>
    <s v="Raw Materials"/>
    <x v="0"/>
    <n v="1713"/>
    <n v="47.45"/>
    <n v="42.05"/>
    <n v="53"/>
    <s v="Yes"/>
    <n v="72031.649999999994"/>
  </r>
  <r>
    <s v="PO-00339"/>
    <x v="1"/>
    <d v="2022-05-03T00:00:00"/>
    <d v="2022-05-07T00:00:00"/>
    <s v="Raw Materials"/>
    <x v="3"/>
    <n v="600"/>
    <n v="60.1"/>
    <n v="57.92"/>
    <n v="95"/>
    <s v="No"/>
    <n v="34752"/>
  </r>
  <r>
    <s v="PO-00340"/>
    <x v="0"/>
    <d v="2023-08-07T00:00:00"/>
    <d v="2023-08-25T00:00:00"/>
    <s v="Electronics"/>
    <x v="3"/>
    <n v="387"/>
    <n v="100.28"/>
    <n v="85.54"/>
    <n v="5"/>
    <s v="Yes"/>
    <n v="33103.980000000003"/>
  </r>
  <r>
    <s v="PO-00341"/>
    <x v="0"/>
    <d v="2022-09-10T00:00:00"/>
    <d v="2022-09-19T00:00:00"/>
    <s v="MRO"/>
    <x v="3"/>
    <n v="921"/>
    <n v="68.83"/>
    <n v="59.13"/>
    <n v="22"/>
    <s v="Yes"/>
    <n v="54458.73"/>
  </r>
  <r>
    <s v="PO-00342"/>
    <x v="4"/>
    <d v="2023-08-16T00:00:00"/>
    <d v="2023-08-30T00:00:00"/>
    <s v="MRO"/>
    <x v="1"/>
    <n v="690"/>
    <n v="22.47"/>
    <n v="21.94"/>
    <n v="77"/>
    <s v="Yes"/>
    <n v="15138.6"/>
  </r>
  <r>
    <s v="PO-00343"/>
    <x v="0"/>
    <d v="2023-09-01T00:00:00"/>
    <d v="2023-09-21T00:00:00"/>
    <s v="Office Supplies"/>
    <x v="0"/>
    <n v="1852"/>
    <n v="104.04"/>
    <n v="94.89"/>
    <n v="36"/>
    <s v="Yes"/>
    <n v="175736.28"/>
  </r>
  <r>
    <s v="PO-00344"/>
    <x v="1"/>
    <d v="2022-02-10T00:00:00"/>
    <d v="2022-02-28T00:00:00"/>
    <s v="Electronics"/>
    <x v="1"/>
    <n v="522"/>
    <n v="66.83"/>
    <n v="58.01"/>
    <n v="74"/>
    <s v="Yes"/>
    <n v="30281.219999999998"/>
  </r>
  <r>
    <s v="PO-00345"/>
    <x v="1"/>
    <d v="2023-09-27T00:00:00"/>
    <d v="2023-10-06T00:00:00"/>
    <s v="Electronics"/>
    <x v="1"/>
    <n v="200"/>
    <n v="44.16"/>
    <n v="43.13"/>
    <n v="21"/>
    <s v="Yes"/>
    <n v="8626"/>
  </r>
  <r>
    <s v="PO-00346"/>
    <x v="2"/>
    <d v="2022-03-25T00:00:00"/>
    <d v="2022-04-03T00:00:00"/>
    <s v="Packaging"/>
    <x v="1"/>
    <n v="1488"/>
    <n v="22.76"/>
    <n v="21.99"/>
    <m/>
    <s v="Yes"/>
    <n v="32721.119999999999"/>
  </r>
  <r>
    <s v="PO-00347"/>
    <x v="3"/>
    <d v="2023-03-06T00:00:00"/>
    <d v="2023-03-16T00:00:00"/>
    <s v="Electronics"/>
    <x v="1"/>
    <n v="1371"/>
    <n v="87.16"/>
    <n v="78.13"/>
    <n v="43"/>
    <s v="Yes"/>
    <n v="107116.23"/>
  </r>
  <r>
    <s v="PO-00348"/>
    <x v="0"/>
    <d v="2023-11-05T00:00:00"/>
    <m/>
    <s v="Office Supplies"/>
    <x v="1"/>
    <n v="1684"/>
    <n v="73.05"/>
    <n v="62.53"/>
    <m/>
    <s v="Yes"/>
    <n v="105300.52"/>
  </r>
  <r>
    <s v="PO-00349"/>
    <x v="3"/>
    <d v="2023-08-21T00:00:00"/>
    <d v="2023-08-27T00:00:00"/>
    <s v="Electronics"/>
    <x v="1"/>
    <n v="312"/>
    <n v="63.52"/>
    <n v="58.09"/>
    <m/>
    <s v="Yes"/>
    <n v="18124.080000000002"/>
  </r>
  <r>
    <s v="PO-00350"/>
    <x v="0"/>
    <d v="2023-08-02T00:00:00"/>
    <d v="2023-08-21T00:00:00"/>
    <s v="Packaging"/>
    <x v="0"/>
    <n v="1837"/>
    <n v="99.04"/>
    <n v="86.51"/>
    <n v="39"/>
    <s v="Yes"/>
    <n v="158918.87"/>
  </r>
  <r>
    <s v="PO-00351"/>
    <x v="4"/>
    <d v="2023-06-20T00:00:00"/>
    <d v="2023-06-23T00:00:00"/>
    <s v="MRO"/>
    <x v="1"/>
    <n v="193"/>
    <n v="87.86"/>
    <n v="81.739999999999995"/>
    <n v="21"/>
    <s v="Yes"/>
    <n v="15775.82"/>
  </r>
  <r>
    <s v="PO-00352"/>
    <x v="4"/>
    <d v="2022-11-20T00:00:00"/>
    <d v="2022-11-21T00:00:00"/>
    <s v="Electronics"/>
    <x v="1"/>
    <n v="395"/>
    <n v="24.83"/>
    <n v="23.96"/>
    <n v="31"/>
    <s v="Yes"/>
    <n v="9464.2000000000007"/>
  </r>
  <r>
    <s v="PO-00353"/>
    <x v="3"/>
    <d v="2022-09-25T00:00:00"/>
    <d v="2022-10-12T00:00:00"/>
    <s v="Electronics"/>
    <x v="0"/>
    <n v="673"/>
    <n v="39.58"/>
    <n v="35.83"/>
    <n v="25"/>
    <s v="Yes"/>
    <n v="24113.59"/>
  </r>
  <r>
    <s v="PO-00354"/>
    <x v="1"/>
    <d v="2022-07-29T00:00:00"/>
    <d v="2022-08-12T00:00:00"/>
    <s v="Office Supplies"/>
    <x v="0"/>
    <n v="1066"/>
    <n v="33.33"/>
    <n v="28.47"/>
    <n v="162"/>
    <s v="No"/>
    <n v="30349.02"/>
  </r>
  <r>
    <s v="PO-00355"/>
    <x v="2"/>
    <d v="2023-11-17T00:00:00"/>
    <d v="2023-11-23T00:00:00"/>
    <s v="Packaging"/>
    <x v="1"/>
    <n v="1645"/>
    <n v="85.42"/>
    <n v="80.78"/>
    <n v="73"/>
    <s v="No"/>
    <n v="132883.1"/>
  </r>
  <r>
    <s v="PO-00356"/>
    <x v="0"/>
    <d v="2022-11-18T00:00:00"/>
    <d v="2022-11-29T00:00:00"/>
    <s v="Electronics"/>
    <x v="1"/>
    <n v="930"/>
    <n v="13.67"/>
    <n v="11.95"/>
    <n v="16"/>
    <s v="Yes"/>
    <n v="11113.5"/>
  </r>
  <r>
    <s v="PO-00357"/>
    <x v="0"/>
    <d v="2022-09-02T00:00:00"/>
    <d v="2022-09-21T00:00:00"/>
    <s v="Office Supplies"/>
    <x v="1"/>
    <n v="51"/>
    <n v="63.74"/>
    <n v="56.1"/>
    <n v="0"/>
    <s v="Yes"/>
    <n v="2861.1"/>
  </r>
  <r>
    <s v="PO-00358"/>
    <x v="2"/>
    <d v="2022-09-29T00:00:00"/>
    <d v="2022-10-01T00:00:00"/>
    <s v="Packaging"/>
    <x v="1"/>
    <n v="946"/>
    <n v="81.77"/>
    <n v="71.650000000000006"/>
    <n v="55"/>
    <s v="Yes"/>
    <n v="67780.900000000009"/>
  </r>
  <r>
    <s v="PO-00359"/>
    <x v="3"/>
    <d v="2023-02-10T00:00:00"/>
    <d v="2023-03-02T00:00:00"/>
    <s v="Raw Materials"/>
    <x v="2"/>
    <n v="1377"/>
    <n v="94.69"/>
    <n v="84.2"/>
    <m/>
    <s v="Yes"/>
    <n v="115943.40000000001"/>
  </r>
  <r>
    <s v="PO-00360"/>
    <x v="3"/>
    <d v="2022-05-15T00:00:00"/>
    <d v="2022-05-18T00:00:00"/>
    <s v="Packaging"/>
    <x v="0"/>
    <n v="303"/>
    <n v="41.6"/>
    <n v="40.51"/>
    <n v="11"/>
    <s v="Yes"/>
    <n v="12274.529999999999"/>
  </r>
  <r>
    <s v="PO-00361"/>
    <x v="0"/>
    <d v="2023-11-19T00:00:00"/>
    <d v="2023-12-03T00:00:00"/>
    <s v="Raw Materials"/>
    <x v="1"/>
    <n v="1725"/>
    <n v="93.14"/>
    <n v="79.62"/>
    <n v="24"/>
    <s v="Yes"/>
    <n v="137344.5"/>
  </r>
  <r>
    <s v="PO-00362"/>
    <x v="4"/>
    <d v="2023-10-23T00:00:00"/>
    <d v="2023-11-07T00:00:00"/>
    <s v="Raw Materials"/>
    <x v="0"/>
    <n v="502"/>
    <n v="22.05"/>
    <n v="20.65"/>
    <n v="50"/>
    <s v="No"/>
    <n v="10366.299999999999"/>
  </r>
  <r>
    <s v="PO-00363"/>
    <x v="2"/>
    <d v="2022-11-04T00:00:00"/>
    <d v="2022-11-11T00:00:00"/>
    <s v="Packaging"/>
    <x v="1"/>
    <n v="1110"/>
    <n v="90.49"/>
    <n v="80.03"/>
    <n v="61"/>
    <s v="Yes"/>
    <n v="88833.3"/>
  </r>
  <r>
    <s v="PO-00364"/>
    <x v="0"/>
    <d v="2023-04-14T00:00:00"/>
    <d v="2023-04-18T00:00:00"/>
    <s v="Packaging"/>
    <x v="1"/>
    <n v="1233"/>
    <n v="23.08"/>
    <n v="20.57"/>
    <m/>
    <s v="Yes"/>
    <n v="25362.81"/>
  </r>
  <r>
    <s v="PO-00365"/>
    <x v="4"/>
    <d v="2022-11-20T00:00:00"/>
    <d v="2022-11-24T00:00:00"/>
    <s v="Office Supplies"/>
    <x v="1"/>
    <n v="1064"/>
    <n v="48.04"/>
    <n v="43.6"/>
    <n v="94"/>
    <s v="Yes"/>
    <n v="46390.400000000001"/>
  </r>
  <r>
    <s v="PO-00366"/>
    <x v="3"/>
    <d v="2022-03-16T00:00:00"/>
    <d v="2022-04-04T00:00:00"/>
    <s v="Packaging"/>
    <x v="2"/>
    <n v="58"/>
    <n v="82.57"/>
    <n v="76.55"/>
    <m/>
    <s v="Yes"/>
    <n v="4439.8999999999996"/>
  </r>
  <r>
    <s v="PO-00367"/>
    <x v="4"/>
    <d v="2022-01-10T00:00:00"/>
    <d v="2022-01-20T00:00:00"/>
    <s v="MRO"/>
    <x v="1"/>
    <n v="1306"/>
    <n v="23.49"/>
    <n v="20.170000000000002"/>
    <n v="116"/>
    <s v="No"/>
    <n v="26342.02"/>
  </r>
  <r>
    <s v="PO-00368"/>
    <x v="1"/>
    <d v="2023-04-15T00:00:00"/>
    <d v="2023-04-28T00:00:00"/>
    <s v="Electronics"/>
    <x v="1"/>
    <n v="1172"/>
    <n v="32.93"/>
    <n v="29.28"/>
    <m/>
    <s v="No"/>
    <n v="34316.160000000003"/>
  </r>
  <r>
    <s v="PO-00369"/>
    <x v="0"/>
    <d v="2023-09-29T00:00:00"/>
    <m/>
    <s v="Packaging"/>
    <x v="1"/>
    <n v="1732"/>
    <n v="82.5"/>
    <n v="71.709999999999994"/>
    <n v="24"/>
    <s v="Yes"/>
    <n v="124201.71999999999"/>
  </r>
  <r>
    <s v="PO-00370"/>
    <x v="2"/>
    <d v="2023-07-31T00:00:00"/>
    <d v="2023-08-07T00:00:00"/>
    <s v="Raw Materials"/>
    <x v="1"/>
    <n v="865"/>
    <n v="81.540000000000006"/>
    <n v="71.59"/>
    <n v="39"/>
    <s v="Yes"/>
    <n v="61925.350000000006"/>
  </r>
  <r>
    <s v="PO-00371"/>
    <x v="4"/>
    <d v="2022-04-13T00:00:00"/>
    <d v="2022-04-20T00:00:00"/>
    <s v="Raw Materials"/>
    <x v="1"/>
    <n v="257"/>
    <n v="68.72"/>
    <n v="66.92"/>
    <n v="22"/>
    <s v="Yes"/>
    <n v="17198.439999999999"/>
  </r>
  <r>
    <s v="PO-00372"/>
    <x v="3"/>
    <d v="2022-03-17T00:00:00"/>
    <d v="2022-03-26T00:00:00"/>
    <s v="Packaging"/>
    <x v="1"/>
    <n v="1204"/>
    <n v="73.180000000000007"/>
    <n v="67.59"/>
    <n v="31"/>
    <s v="Yes"/>
    <n v="81378.36"/>
  </r>
  <r>
    <s v="PO-00373"/>
    <x v="4"/>
    <d v="2023-07-05T00:00:00"/>
    <d v="2023-07-09T00:00:00"/>
    <s v="Electronics"/>
    <x v="2"/>
    <n v="453"/>
    <n v="64.14"/>
    <n v="60.18"/>
    <n v="51"/>
    <s v="Yes"/>
    <n v="27261.54"/>
  </r>
  <r>
    <s v="PO-00374"/>
    <x v="3"/>
    <d v="2022-08-07T00:00:00"/>
    <d v="2022-08-21T00:00:00"/>
    <s v="Electronics"/>
    <x v="1"/>
    <n v="201"/>
    <n v="33.81"/>
    <n v="32.54"/>
    <n v="3"/>
    <s v="Yes"/>
    <n v="6540.54"/>
  </r>
  <r>
    <s v="PO-00375"/>
    <x v="1"/>
    <d v="2023-06-03T00:00:00"/>
    <d v="2023-06-16T00:00:00"/>
    <s v="Office Supplies"/>
    <x v="1"/>
    <n v="103"/>
    <n v="44.61"/>
    <n v="42.88"/>
    <n v="10"/>
    <s v="Yes"/>
    <n v="4416.6400000000003"/>
  </r>
  <r>
    <s v="PO-00376"/>
    <x v="3"/>
    <d v="2022-09-29T00:00:00"/>
    <d v="2022-10-07T00:00:00"/>
    <s v="Office Supplies"/>
    <x v="1"/>
    <n v="1193"/>
    <n v="27.4"/>
    <n v="27.09"/>
    <m/>
    <s v="Yes"/>
    <n v="32318.37"/>
  </r>
  <r>
    <s v="PO-00377"/>
    <x v="2"/>
    <d v="2022-05-16T00:00:00"/>
    <d v="2022-05-28T00:00:00"/>
    <s v="Office Supplies"/>
    <x v="2"/>
    <n v="1746"/>
    <n v="93.6"/>
    <n v="89.81"/>
    <n v="85"/>
    <s v="Yes"/>
    <n v="156808.26"/>
  </r>
  <r>
    <s v="PO-00378"/>
    <x v="1"/>
    <d v="2022-12-24T00:00:00"/>
    <d v="2022-12-26T00:00:00"/>
    <s v="Electronics"/>
    <x v="1"/>
    <n v="1993"/>
    <n v="65.94"/>
    <n v="59.36"/>
    <m/>
    <s v="Yes"/>
    <n v="118304.48"/>
  </r>
  <r>
    <s v="PO-00379"/>
    <x v="4"/>
    <d v="2022-03-12T00:00:00"/>
    <d v="2022-03-27T00:00:00"/>
    <s v="Raw Materials"/>
    <x v="1"/>
    <n v="677"/>
    <n v="46.54"/>
    <n v="43.11"/>
    <m/>
    <s v="No"/>
    <n v="29185.47"/>
  </r>
  <r>
    <s v="PO-00380"/>
    <x v="0"/>
    <d v="2022-09-08T00:00:00"/>
    <m/>
    <s v="Office Supplies"/>
    <x v="3"/>
    <n v="636"/>
    <n v="53.64"/>
    <n v="49.23"/>
    <n v="18"/>
    <s v="Yes"/>
    <n v="31310.28"/>
  </r>
  <r>
    <s v="PO-00381"/>
    <x v="3"/>
    <d v="2023-01-14T00:00:00"/>
    <d v="2023-02-02T00:00:00"/>
    <s v="Packaging"/>
    <x v="1"/>
    <n v="1698"/>
    <n v="100.97"/>
    <n v="98.73"/>
    <n v="52"/>
    <s v="Yes"/>
    <n v="167643.54"/>
  </r>
  <r>
    <s v="PO-00382"/>
    <x v="2"/>
    <d v="2022-10-19T00:00:00"/>
    <d v="2022-11-01T00:00:00"/>
    <s v="Office Supplies"/>
    <x v="1"/>
    <n v="1493"/>
    <n v="24.87"/>
    <n v="22.89"/>
    <n v="56"/>
    <s v="Yes"/>
    <n v="34174.770000000004"/>
  </r>
  <r>
    <s v="PO-00383"/>
    <x v="0"/>
    <d v="2022-06-11T00:00:00"/>
    <d v="2022-06-25T00:00:00"/>
    <s v="Packaging"/>
    <x v="1"/>
    <n v="1495"/>
    <n v="64.33"/>
    <n v="58.18"/>
    <n v="26"/>
    <s v="Yes"/>
    <n v="86979.1"/>
  </r>
  <r>
    <s v="PO-00384"/>
    <x v="0"/>
    <d v="2023-03-25T00:00:00"/>
    <d v="2023-04-07T00:00:00"/>
    <s v="Packaging"/>
    <x v="0"/>
    <n v="153"/>
    <n v="59.42"/>
    <n v="52"/>
    <n v="3"/>
    <s v="Yes"/>
    <n v="7956"/>
  </r>
  <r>
    <s v="PO-00385"/>
    <x v="1"/>
    <d v="2023-07-11T00:00:00"/>
    <d v="2023-07-22T00:00:00"/>
    <s v="Raw Materials"/>
    <x v="0"/>
    <n v="1925"/>
    <n v="70.88"/>
    <n v="63.41"/>
    <n v="292"/>
    <s v="Yes"/>
    <n v="122064.25"/>
  </r>
  <r>
    <s v="PO-00386"/>
    <x v="4"/>
    <d v="2023-12-22T00:00:00"/>
    <d v="2024-01-11T00:00:00"/>
    <s v="Packaging"/>
    <x v="1"/>
    <n v="303"/>
    <n v="12.97"/>
    <n v="11.42"/>
    <m/>
    <s v="No"/>
    <n v="3460.2599999999998"/>
  </r>
  <r>
    <s v="PO-00387"/>
    <x v="0"/>
    <d v="2022-11-06T00:00:00"/>
    <d v="2022-11-18T00:00:00"/>
    <s v="Office Supplies"/>
    <x v="1"/>
    <n v="1300"/>
    <n v="92.92"/>
    <n v="90.63"/>
    <m/>
    <s v="Yes"/>
    <n v="117819"/>
  </r>
  <r>
    <s v="PO-00388"/>
    <x v="2"/>
    <d v="2023-09-19T00:00:00"/>
    <d v="2023-09-23T00:00:00"/>
    <s v="Raw Materials"/>
    <x v="1"/>
    <n v="1185"/>
    <n v="103.28"/>
    <n v="99.05"/>
    <m/>
    <s v="Yes"/>
    <n v="117374.25"/>
  </r>
  <r>
    <s v="PO-00389"/>
    <x v="3"/>
    <d v="2023-11-01T00:00:00"/>
    <d v="2023-11-20T00:00:00"/>
    <s v="Raw Materials"/>
    <x v="1"/>
    <n v="559"/>
    <n v="67.56"/>
    <n v="57.98"/>
    <n v="15"/>
    <s v="Yes"/>
    <n v="32410.82"/>
  </r>
  <r>
    <s v="PO-00390"/>
    <x v="3"/>
    <d v="2023-06-26T00:00:00"/>
    <d v="2023-06-29T00:00:00"/>
    <s v="Electronics"/>
    <x v="3"/>
    <n v="1546"/>
    <n v="78.88"/>
    <n v="78"/>
    <n v="38"/>
    <s v="Yes"/>
    <n v="120588"/>
  </r>
  <r>
    <s v="PO-00391"/>
    <x v="3"/>
    <d v="2022-01-09T00:00:00"/>
    <d v="2022-01-19T00:00:00"/>
    <s v="Packaging"/>
    <x v="1"/>
    <n v="148"/>
    <n v="93.02"/>
    <n v="85.96"/>
    <n v="4"/>
    <s v="Yes"/>
    <n v="12722.08"/>
  </r>
  <r>
    <s v="PO-00392"/>
    <x v="1"/>
    <d v="2023-11-15T00:00:00"/>
    <d v="2023-11-23T00:00:00"/>
    <s v="Office Supplies"/>
    <x v="1"/>
    <n v="202"/>
    <n v="81.75"/>
    <n v="78.260000000000005"/>
    <n v="37"/>
    <s v="No"/>
    <n v="15808.52"/>
  </r>
  <r>
    <s v="PO-00393"/>
    <x v="2"/>
    <d v="2023-07-22T00:00:00"/>
    <d v="2023-07-28T00:00:00"/>
    <s v="Packaging"/>
    <x v="1"/>
    <n v="1934"/>
    <n v="25.86"/>
    <n v="25.6"/>
    <n v="78"/>
    <s v="Yes"/>
    <n v="49510.400000000001"/>
  </r>
  <r>
    <s v="PO-00394"/>
    <x v="0"/>
    <d v="2022-11-03T00:00:00"/>
    <d v="2022-11-07T00:00:00"/>
    <s v="Office Supplies"/>
    <x v="1"/>
    <n v="963"/>
    <n v="64.959999999999994"/>
    <n v="64.069999999999993"/>
    <n v="20"/>
    <s v="Yes"/>
    <n v="61699.409999999996"/>
  </r>
  <r>
    <s v="PO-00395"/>
    <x v="2"/>
    <d v="2023-11-11T00:00:00"/>
    <d v="2023-11-18T00:00:00"/>
    <s v="MRO"/>
    <x v="1"/>
    <n v="1969"/>
    <n v="71.709999999999994"/>
    <n v="61.96"/>
    <m/>
    <s v="Yes"/>
    <n v="121999.24"/>
  </r>
  <r>
    <s v="PO-00396"/>
    <x v="1"/>
    <d v="2022-04-17T00:00:00"/>
    <m/>
    <s v="Electronics"/>
    <x v="1"/>
    <n v="927"/>
    <n v="48.89"/>
    <n v="46.05"/>
    <n v="138"/>
    <s v="Yes"/>
    <n v="42688.35"/>
  </r>
  <r>
    <s v="PO-00397"/>
    <x v="1"/>
    <d v="2022-05-18T00:00:00"/>
    <d v="2022-05-23T00:00:00"/>
    <s v="Raw Materials"/>
    <x v="0"/>
    <n v="387"/>
    <n v="77.81"/>
    <n v="69.040000000000006"/>
    <n v="67"/>
    <s v="Yes"/>
    <n v="26718.480000000003"/>
  </r>
  <r>
    <s v="PO-00398"/>
    <x v="4"/>
    <d v="2022-09-28T00:00:00"/>
    <d v="2022-10-03T00:00:00"/>
    <s v="Electronics"/>
    <x v="1"/>
    <n v="1779"/>
    <n v="97.86"/>
    <n v="94.36"/>
    <n v="176"/>
    <s v="Yes"/>
    <n v="167866.44"/>
  </r>
  <r>
    <s v="PO-00399"/>
    <x v="2"/>
    <d v="2022-04-29T00:00:00"/>
    <d v="2022-05-05T00:00:00"/>
    <s v="MRO"/>
    <x v="3"/>
    <n v="871"/>
    <n v="94.7"/>
    <n v="92.66"/>
    <n v="46"/>
    <s v="Yes"/>
    <n v="80706.86"/>
  </r>
  <r>
    <s v="PO-00400"/>
    <x v="3"/>
    <d v="2022-04-20T00:00:00"/>
    <d v="2022-04-23T00:00:00"/>
    <s v="Electronics"/>
    <x v="1"/>
    <n v="1236"/>
    <n v="51.33"/>
    <n v="44.03"/>
    <n v="25"/>
    <s v="Yes"/>
    <n v="54421.08"/>
  </r>
  <r>
    <s v="PO-00401"/>
    <x v="1"/>
    <d v="2023-07-21T00:00:00"/>
    <d v="2023-08-06T00:00:00"/>
    <s v="Electronics"/>
    <x v="1"/>
    <n v="1793"/>
    <n v="22.01"/>
    <n v="21.78"/>
    <n v="285"/>
    <s v="Yes"/>
    <n v="39051.54"/>
  </r>
  <r>
    <s v="PO-00402"/>
    <x v="1"/>
    <d v="2022-06-09T00:00:00"/>
    <d v="2022-06-28T00:00:00"/>
    <s v="MRO"/>
    <x v="1"/>
    <n v="1006"/>
    <n v="101.1"/>
    <n v="89.04"/>
    <n v="139"/>
    <s v="Yes"/>
    <n v="89574.24"/>
  </r>
  <r>
    <s v="PO-00403"/>
    <x v="4"/>
    <d v="2022-10-06T00:00:00"/>
    <d v="2022-10-21T00:00:00"/>
    <s v="Electronics"/>
    <x v="0"/>
    <n v="1754"/>
    <n v="89.35"/>
    <n v="86.54"/>
    <n v="161"/>
    <s v="No"/>
    <n v="151791.16"/>
  </r>
  <r>
    <s v="PO-00404"/>
    <x v="3"/>
    <d v="2022-10-16T00:00:00"/>
    <d v="2022-11-04T00:00:00"/>
    <s v="Electronics"/>
    <x v="1"/>
    <n v="210"/>
    <n v="22.17"/>
    <n v="21.32"/>
    <n v="10"/>
    <s v="Yes"/>
    <n v="4477.2"/>
  </r>
  <r>
    <s v="PO-00405"/>
    <x v="1"/>
    <d v="2023-09-12T00:00:00"/>
    <d v="2023-10-02T00:00:00"/>
    <s v="MRO"/>
    <x v="1"/>
    <n v="1653"/>
    <n v="102.16"/>
    <n v="91.91"/>
    <n v="217"/>
    <s v="Yes"/>
    <n v="151927.22999999998"/>
  </r>
  <r>
    <s v="PO-00406"/>
    <x v="0"/>
    <d v="2022-08-04T00:00:00"/>
    <d v="2022-08-15T00:00:00"/>
    <s v="MRO"/>
    <x v="2"/>
    <n v="850"/>
    <n v="91.38"/>
    <n v="88.41"/>
    <n v="24"/>
    <s v="Yes"/>
    <n v="75148.5"/>
  </r>
  <r>
    <s v="PO-00407"/>
    <x v="3"/>
    <d v="2022-12-18T00:00:00"/>
    <d v="2022-12-21T00:00:00"/>
    <s v="Raw Materials"/>
    <x v="1"/>
    <n v="447"/>
    <n v="59.81"/>
    <n v="57.92"/>
    <n v="13"/>
    <s v="Yes"/>
    <n v="25890.240000000002"/>
  </r>
  <r>
    <s v="PO-00408"/>
    <x v="2"/>
    <d v="2022-07-28T00:00:00"/>
    <d v="2022-08-07T00:00:00"/>
    <s v="Office Supplies"/>
    <x v="1"/>
    <n v="1350"/>
    <n v="65.11"/>
    <n v="56.95"/>
    <n v="71"/>
    <s v="Yes"/>
    <n v="76882.5"/>
  </r>
  <r>
    <s v="PO-00409"/>
    <x v="4"/>
    <d v="2023-12-05T00:00:00"/>
    <d v="2023-12-24T00:00:00"/>
    <s v="Office Supplies"/>
    <x v="1"/>
    <n v="865"/>
    <n v="51.19"/>
    <n v="47.76"/>
    <n v="83"/>
    <s v="Yes"/>
    <n v="41312.400000000001"/>
  </r>
  <r>
    <s v="PO-00410"/>
    <x v="0"/>
    <d v="2023-10-12T00:00:00"/>
    <d v="2023-10-29T00:00:00"/>
    <s v="MRO"/>
    <x v="1"/>
    <n v="1989"/>
    <n v="16.5"/>
    <n v="15.89"/>
    <n v="57"/>
    <s v="Yes"/>
    <n v="31605.210000000003"/>
  </r>
  <r>
    <s v="PO-00411"/>
    <x v="0"/>
    <d v="2022-09-28T00:00:00"/>
    <d v="2022-10-13T00:00:00"/>
    <s v="Office Supplies"/>
    <x v="1"/>
    <n v="1577"/>
    <n v="41.77"/>
    <n v="39.58"/>
    <n v="32"/>
    <s v="Yes"/>
    <n v="62417.659999999996"/>
  </r>
  <r>
    <s v="PO-00412"/>
    <x v="2"/>
    <d v="2023-06-02T00:00:00"/>
    <d v="2023-06-04T00:00:00"/>
    <s v="Packaging"/>
    <x v="3"/>
    <n v="1969"/>
    <n v="89.25"/>
    <n v="87.28"/>
    <n v="108"/>
    <s v="No"/>
    <n v="171854.32"/>
  </r>
  <r>
    <s v="PO-00413"/>
    <x v="4"/>
    <d v="2023-05-16T00:00:00"/>
    <d v="2023-05-26T00:00:00"/>
    <s v="Packaging"/>
    <x v="2"/>
    <n v="1465"/>
    <n v="11.25"/>
    <n v="9.61"/>
    <n v="151"/>
    <s v="Yes"/>
    <n v="14078.65"/>
  </r>
  <r>
    <s v="PO-00414"/>
    <x v="1"/>
    <d v="2022-09-15T00:00:00"/>
    <d v="2022-09-18T00:00:00"/>
    <s v="Packaging"/>
    <x v="3"/>
    <n v="1208"/>
    <n v="41.62"/>
    <n v="39.46"/>
    <m/>
    <s v="Yes"/>
    <n v="47667.68"/>
  </r>
  <r>
    <s v="PO-00415"/>
    <x v="4"/>
    <d v="2022-02-22T00:00:00"/>
    <d v="2022-03-11T00:00:00"/>
    <s v="Raw Materials"/>
    <x v="1"/>
    <n v="1268"/>
    <n v="46.06"/>
    <n v="45.26"/>
    <n v="123"/>
    <s v="Yes"/>
    <n v="57389.68"/>
  </r>
  <r>
    <s v="PO-00416"/>
    <x v="1"/>
    <d v="2022-04-05T00:00:00"/>
    <d v="2022-04-24T00:00:00"/>
    <s v="Office Supplies"/>
    <x v="1"/>
    <n v="450"/>
    <n v="59.24"/>
    <n v="55.03"/>
    <n v="68"/>
    <s v="No"/>
    <n v="24763.5"/>
  </r>
  <r>
    <s v="PO-00417"/>
    <x v="2"/>
    <d v="2023-10-12T00:00:00"/>
    <d v="2023-10-14T00:00:00"/>
    <s v="Electronics"/>
    <x v="2"/>
    <n v="689"/>
    <n v="102.53"/>
    <n v="95.23"/>
    <n v="38"/>
    <s v="Yes"/>
    <n v="65613.47"/>
  </r>
  <r>
    <s v="PO-00418"/>
    <x v="2"/>
    <d v="2023-03-10T00:00:00"/>
    <d v="2023-03-29T00:00:00"/>
    <s v="MRO"/>
    <x v="1"/>
    <n v="1106"/>
    <n v="44.05"/>
    <n v="38.6"/>
    <n v="51"/>
    <s v="Yes"/>
    <n v="42691.6"/>
  </r>
  <r>
    <s v="PO-00419"/>
    <x v="0"/>
    <d v="2022-10-11T00:00:00"/>
    <d v="2022-10-22T00:00:00"/>
    <s v="Office Supplies"/>
    <x v="1"/>
    <n v="737"/>
    <n v="43.08"/>
    <n v="42.58"/>
    <n v="21"/>
    <s v="Yes"/>
    <n v="31381.46"/>
  </r>
  <r>
    <s v="PO-00420"/>
    <x v="0"/>
    <d v="2022-02-15T00:00:00"/>
    <d v="2022-03-04T00:00:00"/>
    <s v="Raw Materials"/>
    <x v="1"/>
    <n v="509"/>
    <n v="76.760000000000005"/>
    <n v="74.72"/>
    <n v="7"/>
    <s v="No"/>
    <n v="38032.479999999996"/>
  </r>
  <r>
    <s v="PO-00421"/>
    <x v="0"/>
    <d v="2022-01-04T00:00:00"/>
    <d v="2022-01-06T00:00:00"/>
    <s v="Electronics"/>
    <x v="1"/>
    <n v="1004"/>
    <n v="50.7"/>
    <n v="46.59"/>
    <n v="27"/>
    <s v="Yes"/>
    <n v="46776.36"/>
  </r>
  <r>
    <s v="PO-00422"/>
    <x v="2"/>
    <d v="2022-12-08T00:00:00"/>
    <d v="2022-12-19T00:00:00"/>
    <s v="MRO"/>
    <x v="3"/>
    <n v="1956"/>
    <n v="31.88"/>
    <n v="28.48"/>
    <n v="86"/>
    <s v="Yes"/>
    <n v="55706.879999999997"/>
  </r>
  <r>
    <s v="PO-00423"/>
    <x v="1"/>
    <d v="2022-05-14T00:00:00"/>
    <m/>
    <s v="Electronics"/>
    <x v="1"/>
    <n v="519"/>
    <n v="51.73"/>
    <n v="47.52"/>
    <n v="81"/>
    <s v="No"/>
    <n v="24662.880000000001"/>
  </r>
  <r>
    <s v="PO-00424"/>
    <x v="2"/>
    <d v="2023-10-15T00:00:00"/>
    <d v="2023-10-21T00:00:00"/>
    <s v="MRO"/>
    <x v="2"/>
    <n v="1448"/>
    <n v="25.06"/>
    <n v="21.62"/>
    <n v="84"/>
    <s v="Yes"/>
    <n v="31305.760000000002"/>
  </r>
  <r>
    <s v="PO-00425"/>
    <x v="2"/>
    <d v="2022-09-26T00:00:00"/>
    <d v="2022-10-11T00:00:00"/>
    <s v="Packaging"/>
    <x v="1"/>
    <n v="1095"/>
    <n v="26.91"/>
    <n v="23.75"/>
    <n v="53"/>
    <s v="Yes"/>
    <n v="26006.25"/>
  </r>
  <r>
    <s v="PO-00426"/>
    <x v="0"/>
    <d v="2022-06-15T00:00:00"/>
    <m/>
    <s v="MRO"/>
    <x v="1"/>
    <n v="799"/>
    <n v="56.22"/>
    <n v="49.51"/>
    <n v="18"/>
    <s v="Yes"/>
    <n v="39558.49"/>
  </r>
  <r>
    <s v="PO-00427"/>
    <x v="4"/>
    <d v="2023-03-29T00:00:00"/>
    <d v="2023-04-18T00:00:00"/>
    <s v="MRO"/>
    <x v="2"/>
    <n v="1743"/>
    <n v="51.04"/>
    <n v="47.15"/>
    <n v="160"/>
    <s v="Yes"/>
    <n v="82182.45"/>
  </r>
  <r>
    <s v="PO-00428"/>
    <x v="0"/>
    <d v="2023-07-19T00:00:00"/>
    <d v="2023-07-31T00:00:00"/>
    <s v="Raw Materials"/>
    <x v="1"/>
    <n v="87"/>
    <n v="100.65"/>
    <n v="85.56"/>
    <n v="1"/>
    <s v="Yes"/>
    <n v="7443.72"/>
  </r>
  <r>
    <s v="PO-00429"/>
    <x v="4"/>
    <d v="2023-12-24T00:00:00"/>
    <m/>
    <s v="Raw Materials"/>
    <x v="1"/>
    <n v="279"/>
    <n v="47.52"/>
    <n v="46.5"/>
    <n v="28"/>
    <s v="No"/>
    <n v="12973.5"/>
  </r>
  <r>
    <s v="PO-00430"/>
    <x v="1"/>
    <d v="2023-03-14T00:00:00"/>
    <d v="2023-03-25T00:00:00"/>
    <s v="Raw Materials"/>
    <x v="1"/>
    <n v="1438"/>
    <n v="66.61"/>
    <n v="58.5"/>
    <n v="237"/>
    <s v="Yes"/>
    <n v="84123"/>
  </r>
  <r>
    <s v="PO-00431"/>
    <x v="1"/>
    <d v="2023-07-29T00:00:00"/>
    <d v="2023-07-31T00:00:00"/>
    <s v="Office Supplies"/>
    <x v="2"/>
    <n v="612"/>
    <n v="72.930000000000007"/>
    <n v="63.32"/>
    <n v="99"/>
    <s v="Yes"/>
    <n v="38751.840000000004"/>
  </r>
  <r>
    <s v="PO-00432"/>
    <x v="3"/>
    <d v="2022-01-10T00:00:00"/>
    <d v="2022-01-21T00:00:00"/>
    <s v="Packaging"/>
    <x v="3"/>
    <n v="487"/>
    <n v="11.18"/>
    <n v="10.63"/>
    <n v="15"/>
    <s v="Yes"/>
    <n v="5176.8100000000004"/>
  </r>
  <r>
    <s v="PO-00433"/>
    <x v="3"/>
    <d v="2022-04-25T00:00:00"/>
    <d v="2022-04-29T00:00:00"/>
    <s v="Packaging"/>
    <x v="2"/>
    <n v="1849"/>
    <n v="70.760000000000005"/>
    <n v="69.25"/>
    <n v="51"/>
    <s v="Yes"/>
    <n v="128043.25"/>
  </r>
  <r>
    <s v="PO-00434"/>
    <x v="3"/>
    <d v="2022-03-19T00:00:00"/>
    <d v="2022-04-01T00:00:00"/>
    <s v="MRO"/>
    <x v="2"/>
    <n v="1356"/>
    <n v="26.28"/>
    <n v="25.44"/>
    <n v="47"/>
    <s v="Yes"/>
    <n v="34496.639999999999"/>
  </r>
  <r>
    <s v="PO-00435"/>
    <x v="1"/>
    <d v="2023-12-09T00:00:00"/>
    <d v="2023-12-29T00:00:00"/>
    <s v="Raw Materials"/>
    <x v="1"/>
    <n v="76"/>
    <n v="107.59"/>
    <n v="96.33"/>
    <n v="10"/>
    <s v="Yes"/>
    <n v="7321.08"/>
  </r>
  <r>
    <s v="PO-00436"/>
    <x v="0"/>
    <d v="2022-06-02T00:00:00"/>
    <d v="2022-06-13T00:00:00"/>
    <s v="Packaging"/>
    <x v="2"/>
    <n v="275"/>
    <n v="23.96"/>
    <n v="20.440000000000001"/>
    <m/>
    <s v="Yes"/>
    <n v="5621"/>
  </r>
  <r>
    <s v="PO-00437"/>
    <x v="0"/>
    <d v="2023-07-13T00:00:00"/>
    <d v="2023-07-18T00:00:00"/>
    <s v="Packaging"/>
    <x v="1"/>
    <n v="1350"/>
    <n v="51.57"/>
    <n v="48.07"/>
    <m/>
    <s v="Yes"/>
    <n v="64894.5"/>
  </r>
  <r>
    <s v="PO-00438"/>
    <x v="0"/>
    <d v="2022-02-06T00:00:00"/>
    <m/>
    <s v="MRO"/>
    <x v="1"/>
    <n v="847"/>
    <n v="17.77"/>
    <n v="17.39"/>
    <m/>
    <s v="Yes"/>
    <n v="14729.33"/>
  </r>
  <r>
    <s v="PO-00439"/>
    <x v="2"/>
    <d v="2023-01-14T00:00:00"/>
    <d v="2023-01-27T00:00:00"/>
    <s v="MRO"/>
    <x v="1"/>
    <n v="1682"/>
    <n v="105.7"/>
    <n v="101.3"/>
    <n v="94"/>
    <s v="Yes"/>
    <n v="170386.6"/>
  </r>
  <r>
    <s v="PO-00440"/>
    <x v="3"/>
    <d v="2023-08-20T00:00:00"/>
    <d v="2023-08-23T00:00:00"/>
    <s v="Electronics"/>
    <x v="1"/>
    <n v="333"/>
    <n v="60.44"/>
    <n v="58.54"/>
    <n v="8"/>
    <s v="Yes"/>
    <n v="19493.82"/>
  </r>
  <r>
    <s v="PO-00441"/>
    <x v="0"/>
    <d v="2023-07-20T00:00:00"/>
    <d v="2023-08-02T00:00:00"/>
    <s v="Electronics"/>
    <x v="0"/>
    <n v="928"/>
    <n v="69.31"/>
    <n v="67.260000000000005"/>
    <n v="20"/>
    <s v="Yes"/>
    <n v="62417.280000000006"/>
  </r>
  <r>
    <s v="PO-00442"/>
    <x v="3"/>
    <d v="2022-06-01T00:00:00"/>
    <d v="2022-06-12T00:00:00"/>
    <s v="MRO"/>
    <x v="2"/>
    <n v="1009"/>
    <n v="16.440000000000001"/>
    <n v="16.18"/>
    <m/>
    <s v="Yes"/>
    <n v="16325.619999999999"/>
  </r>
  <r>
    <s v="PO-00443"/>
    <x v="3"/>
    <d v="2023-03-17T00:00:00"/>
    <d v="2023-04-03T00:00:00"/>
    <s v="Electronics"/>
    <x v="3"/>
    <n v="1554"/>
    <n v="82.92"/>
    <n v="74.819999999999993"/>
    <n v="44"/>
    <s v="Yes"/>
    <n v="116270.27999999998"/>
  </r>
  <r>
    <s v="PO-00444"/>
    <x v="2"/>
    <d v="2022-05-11T00:00:00"/>
    <d v="2022-05-25T00:00:00"/>
    <s v="Packaging"/>
    <x v="2"/>
    <n v="502"/>
    <n v="29.47"/>
    <n v="28.94"/>
    <n v="27"/>
    <s v="Yes"/>
    <n v="14527.880000000001"/>
  </r>
  <r>
    <s v="PO-00445"/>
    <x v="1"/>
    <d v="2022-02-12T00:00:00"/>
    <d v="2022-02-13T00:00:00"/>
    <s v="MRO"/>
    <x v="1"/>
    <n v="1069"/>
    <n v="91.28"/>
    <n v="82.64"/>
    <m/>
    <s v="Yes"/>
    <n v="88342.16"/>
  </r>
  <r>
    <s v="PO-00446"/>
    <x v="0"/>
    <d v="2022-11-12T00:00:00"/>
    <d v="2022-11-18T00:00:00"/>
    <s v="MRO"/>
    <x v="3"/>
    <n v="1902"/>
    <n v="29.89"/>
    <n v="25.83"/>
    <n v="41"/>
    <s v="Yes"/>
    <n v="49128.659999999996"/>
  </r>
  <r>
    <s v="PO-00447"/>
    <x v="2"/>
    <d v="2023-01-09T00:00:00"/>
    <m/>
    <s v="Raw Materials"/>
    <x v="3"/>
    <n v="865"/>
    <n v="28.79"/>
    <n v="25.69"/>
    <n v="47"/>
    <s v="Yes"/>
    <n v="22221.850000000002"/>
  </r>
  <r>
    <s v="PO-00448"/>
    <x v="1"/>
    <d v="2022-02-10T00:00:00"/>
    <d v="2022-02-26T00:00:00"/>
    <s v="Packaging"/>
    <x v="2"/>
    <n v="708"/>
    <n v="13.36"/>
    <n v="11.61"/>
    <m/>
    <s v="No"/>
    <n v="8219.8799999999992"/>
  </r>
  <r>
    <s v="PO-00449"/>
    <x v="1"/>
    <d v="2023-01-02T00:00:00"/>
    <d v="2023-01-07T00:00:00"/>
    <s v="Packaging"/>
    <x v="1"/>
    <n v="1589"/>
    <n v="55.64"/>
    <n v="48.52"/>
    <m/>
    <s v="Yes"/>
    <n v="77098.28"/>
  </r>
  <r>
    <s v="PO-00450"/>
    <x v="0"/>
    <d v="2022-08-04T00:00:00"/>
    <d v="2022-08-14T00:00:00"/>
    <s v="Office Supplies"/>
    <x v="1"/>
    <n v="596"/>
    <n v="62.96"/>
    <n v="61.88"/>
    <n v="9"/>
    <s v="Yes"/>
    <n v="36880.480000000003"/>
  </r>
  <r>
    <s v="PO-00451"/>
    <x v="3"/>
    <d v="2023-11-30T00:00:00"/>
    <d v="2023-12-04T00:00:00"/>
    <s v="Office Supplies"/>
    <x v="1"/>
    <n v="1265"/>
    <n v="17.66"/>
    <n v="16.97"/>
    <n v="34"/>
    <s v="Yes"/>
    <n v="21467.05"/>
  </r>
  <r>
    <s v="PO-00452"/>
    <x v="4"/>
    <d v="2022-09-13T00:00:00"/>
    <d v="2022-10-01T00:00:00"/>
    <s v="Raw Materials"/>
    <x v="1"/>
    <n v="1122"/>
    <n v="82.99"/>
    <n v="81.7"/>
    <n v="118"/>
    <s v="No"/>
    <n v="91667.400000000009"/>
  </r>
  <r>
    <s v="PO-00453"/>
    <x v="3"/>
    <d v="2023-11-14T00:00:00"/>
    <d v="2023-12-01T00:00:00"/>
    <s v="Office Supplies"/>
    <x v="1"/>
    <n v="1585"/>
    <n v="56.38"/>
    <n v="53.05"/>
    <m/>
    <s v="Yes"/>
    <n v="84084.25"/>
  </r>
  <r>
    <s v="PO-00454"/>
    <x v="3"/>
    <d v="2022-04-16T00:00:00"/>
    <d v="2022-04-27T00:00:00"/>
    <s v="Electronics"/>
    <x v="1"/>
    <n v="66"/>
    <n v="58.05"/>
    <n v="50.76"/>
    <m/>
    <s v="Yes"/>
    <n v="3350.16"/>
  </r>
  <r>
    <s v="PO-00455"/>
    <x v="4"/>
    <d v="2022-12-29T00:00:00"/>
    <d v="2023-01-18T00:00:00"/>
    <s v="MRO"/>
    <x v="1"/>
    <n v="1245"/>
    <n v="52.4"/>
    <n v="51.65"/>
    <n v="118"/>
    <s v="No"/>
    <n v="64304.25"/>
  </r>
  <r>
    <s v="PO-00456"/>
    <x v="1"/>
    <d v="2023-07-28T00:00:00"/>
    <d v="2023-08-10T00:00:00"/>
    <s v="Electronics"/>
    <x v="1"/>
    <n v="1293"/>
    <n v="50.21"/>
    <n v="47.55"/>
    <m/>
    <s v="No"/>
    <n v="61482.149999999994"/>
  </r>
  <r>
    <s v="PO-00457"/>
    <x v="4"/>
    <d v="2023-02-21T00:00:00"/>
    <d v="2023-02-27T00:00:00"/>
    <s v="Packaging"/>
    <x v="1"/>
    <n v="207"/>
    <n v="64.290000000000006"/>
    <n v="63.01"/>
    <n v="25"/>
    <s v="Yes"/>
    <n v="13043.07"/>
  </r>
  <r>
    <s v="PO-00458"/>
    <x v="4"/>
    <d v="2023-09-28T00:00:00"/>
    <d v="2023-10-18T00:00:00"/>
    <s v="Office Supplies"/>
    <x v="1"/>
    <n v="526"/>
    <n v="26.37"/>
    <n v="25.32"/>
    <n v="47"/>
    <s v="Yes"/>
    <n v="13318.32"/>
  </r>
  <r>
    <s v="PO-00459"/>
    <x v="2"/>
    <d v="2022-06-08T00:00:00"/>
    <d v="2022-06-14T00:00:00"/>
    <s v="Electronics"/>
    <x v="1"/>
    <n v="1119"/>
    <n v="27.03"/>
    <n v="23.82"/>
    <m/>
    <s v="Yes"/>
    <n v="26654.58"/>
  </r>
  <r>
    <s v="PO-00460"/>
    <x v="2"/>
    <d v="2022-08-31T00:00:00"/>
    <d v="2022-09-02T00:00:00"/>
    <s v="Packaging"/>
    <x v="1"/>
    <n v="1446"/>
    <n v="90.63"/>
    <n v="84.51"/>
    <n v="77"/>
    <s v="Yes"/>
    <n v="122201.46"/>
  </r>
  <r>
    <s v="PO-00461"/>
    <x v="2"/>
    <d v="2022-06-16T00:00:00"/>
    <d v="2022-06-24T00:00:00"/>
    <s v="Office Supplies"/>
    <x v="1"/>
    <n v="567"/>
    <n v="97.53"/>
    <n v="85.29"/>
    <n v="21"/>
    <s v="Yes"/>
    <n v="48359.43"/>
  </r>
  <r>
    <s v="PO-00462"/>
    <x v="1"/>
    <d v="2022-07-01T00:00:00"/>
    <m/>
    <s v="MRO"/>
    <x v="1"/>
    <n v="148"/>
    <n v="44.91"/>
    <n v="40.1"/>
    <m/>
    <s v="No"/>
    <n v="5934.8"/>
  </r>
  <r>
    <s v="PO-00463"/>
    <x v="4"/>
    <d v="2023-02-27T00:00:00"/>
    <d v="2023-03-14T00:00:00"/>
    <s v="MRO"/>
    <x v="3"/>
    <n v="1965"/>
    <n v="36.6"/>
    <n v="34.64"/>
    <n v="195"/>
    <s v="Yes"/>
    <n v="68067.600000000006"/>
  </r>
  <r>
    <s v="PO-00464"/>
    <x v="0"/>
    <d v="2022-01-26T00:00:00"/>
    <d v="2022-02-03T00:00:00"/>
    <s v="Office Supplies"/>
    <x v="3"/>
    <n v="1818"/>
    <n v="67.959999999999994"/>
    <n v="58.98"/>
    <m/>
    <s v="Yes"/>
    <n v="107225.64"/>
  </r>
  <r>
    <s v="PO-00465"/>
    <x v="4"/>
    <d v="2022-07-03T00:00:00"/>
    <d v="2022-07-19T00:00:00"/>
    <s v="MRO"/>
    <x v="1"/>
    <n v="1110"/>
    <n v="48.19"/>
    <n v="45.88"/>
    <n v="112"/>
    <s v="Yes"/>
    <n v="50926.8"/>
  </r>
  <r>
    <s v="PO-00466"/>
    <x v="1"/>
    <d v="2022-12-07T00:00:00"/>
    <m/>
    <s v="Raw Materials"/>
    <x v="1"/>
    <n v="329"/>
    <n v="12.96"/>
    <n v="12.74"/>
    <n v="48"/>
    <s v="Yes"/>
    <n v="4191.46"/>
  </r>
  <r>
    <s v="PO-00467"/>
    <x v="2"/>
    <d v="2023-02-26T00:00:00"/>
    <d v="2023-03-17T00:00:00"/>
    <s v="Office Supplies"/>
    <x v="0"/>
    <n v="1422"/>
    <n v="25.62"/>
    <n v="25.18"/>
    <n v="65"/>
    <s v="Yes"/>
    <n v="35805.96"/>
  </r>
  <r>
    <s v="PO-00468"/>
    <x v="1"/>
    <d v="2023-11-17T00:00:00"/>
    <m/>
    <s v="Raw Materials"/>
    <x v="1"/>
    <n v="546"/>
    <n v="82.63"/>
    <n v="74.77"/>
    <n v="76"/>
    <s v="No"/>
    <n v="40824.42"/>
  </r>
  <r>
    <s v="PO-00469"/>
    <x v="2"/>
    <d v="2022-09-12T00:00:00"/>
    <d v="2022-09-22T00:00:00"/>
    <s v="Office Supplies"/>
    <x v="2"/>
    <n v="351"/>
    <n v="72.08"/>
    <n v="71.3"/>
    <n v="20"/>
    <s v="Yes"/>
    <n v="25026.3"/>
  </r>
  <r>
    <s v="PO-00470"/>
    <x v="1"/>
    <d v="2022-10-01T00:00:00"/>
    <d v="2022-10-18T00:00:00"/>
    <s v="Raw Materials"/>
    <x v="2"/>
    <n v="230"/>
    <n v="13"/>
    <n v="12.81"/>
    <m/>
    <s v="No"/>
    <n v="2946.3"/>
  </r>
  <r>
    <s v="PO-00471"/>
    <x v="0"/>
    <d v="2022-06-13T00:00:00"/>
    <d v="2022-06-19T00:00:00"/>
    <s v="MRO"/>
    <x v="1"/>
    <n v="656"/>
    <n v="30.73"/>
    <n v="26.26"/>
    <n v="17"/>
    <s v="Yes"/>
    <n v="17226.560000000001"/>
  </r>
  <r>
    <s v="PO-00472"/>
    <x v="2"/>
    <d v="2023-12-20T00:00:00"/>
    <d v="2024-01-09T00:00:00"/>
    <s v="MRO"/>
    <x v="1"/>
    <n v="1172"/>
    <n v="34.340000000000003"/>
    <n v="32.090000000000003"/>
    <n v="69"/>
    <s v="Yes"/>
    <n v="37609.480000000003"/>
  </r>
  <r>
    <s v="PO-00473"/>
    <x v="2"/>
    <d v="2022-04-21T00:00:00"/>
    <d v="2022-04-30T00:00:00"/>
    <s v="Electronics"/>
    <x v="1"/>
    <n v="749"/>
    <n v="71.53"/>
    <n v="70.02"/>
    <n v="41"/>
    <s v="Yes"/>
    <n v="52444.979999999996"/>
  </r>
  <r>
    <s v="PO-00474"/>
    <x v="4"/>
    <d v="2023-01-27T00:00:00"/>
    <d v="2023-02-12T00:00:00"/>
    <s v="Packaging"/>
    <x v="1"/>
    <n v="1042"/>
    <n v="12.48"/>
    <n v="12.3"/>
    <n v="88"/>
    <s v="Yes"/>
    <n v="12816.6"/>
  </r>
  <r>
    <s v="PO-00475"/>
    <x v="1"/>
    <d v="2022-02-09T00:00:00"/>
    <d v="2022-02-27T00:00:00"/>
    <s v="Raw Materials"/>
    <x v="1"/>
    <n v="1189"/>
    <n v="19.47"/>
    <n v="17.149999999999999"/>
    <m/>
    <s v="No"/>
    <n v="20391.349999999999"/>
  </r>
  <r>
    <s v="PO-00476"/>
    <x v="3"/>
    <d v="2023-04-27T00:00:00"/>
    <m/>
    <s v="Office Supplies"/>
    <x v="1"/>
    <n v="240"/>
    <n v="88.14"/>
    <n v="81.900000000000006"/>
    <n v="4"/>
    <s v="Yes"/>
    <n v="19656"/>
  </r>
  <r>
    <s v="PO-00477"/>
    <x v="3"/>
    <d v="2022-08-16T00:00:00"/>
    <d v="2022-09-02T00:00:00"/>
    <s v="MRO"/>
    <x v="1"/>
    <n v="302"/>
    <n v="26.98"/>
    <n v="26.47"/>
    <n v="9"/>
    <s v="Yes"/>
    <n v="7993.94"/>
  </r>
  <r>
    <s v="PO-00478"/>
    <x v="4"/>
    <d v="2022-07-24T00:00:00"/>
    <d v="2022-08-03T00:00:00"/>
    <s v="MRO"/>
    <x v="3"/>
    <n v="1030"/>
    <n v="70.81"/>
    <n v="61.58"/>
    <m/>
    <s v="No"/>
    <n v="63427.4"/>
  </r>
  <r>
    <s v="PO-00479"/>
    <x v="1"/>
    <d v="2023-04-17T00:00:00"/>
    <d v="2023-04-23T00:00:00"/>
    <s v="Office Supplies"/>
    <x v="1"/>
    <n v="977"/>
    <n v="33.79"/>
    <n v="32.25"/>
    <n v="137"/>
    <s v="Yes"/>
    <n v="31508.25"/>
  </r>
  <r>
    <s v="PO-00480"/>
    <x v="0"/>
    <d v="2022-12-25T00:00:00"/>
    <d v="2023-01-11T00:00:00"/>
    <s v="Packaging"/>
    <x v="1"/>
    <n v="1234"/>
    <n v="19.989999999999998"/>
    <n v="17.66"/>
    <n v="25"/>
    <s v="Yes"/>
    <n v="21792.44"/>
  </r>
  <r>
    <s v="PO-00481"/>
    <x v="4"/>
    <d v="2022-11-09T00:00:00"/>
    <d v="2022-11-23T00:00:00"/>
    <s v="Office Supplies"/>
    <x v="1"/>
    <n v="1329"/>
    <n v="33.479999999999997"/>
    <n v="33.06"/>
    <n v="146"/>
    <s v="Yes"/>
    <n v="43936.740000000005"/>
  </r>
  <r>
    <s v="PO-00482"/>
    <x v="2"/>
    <d v="2022-08-22T00:00:00"/>
    <d v="2022-08-30T00:00:00"/>
    <s v="Raw Materials"/>
    <x v="1"/>
    <n v="1396"/>
    <n v="77.63"/>
    <n v="67.81"/>
    <n v="58"/>
    <s v="Yes"/>
    <n v="94662.760000000009"/>
  </r>
  <r>
    <s v="PO-00483"/>
    <x v="0"/>
    <d v="2022-08-17T00:00:00"/>
    <d v="2022-08-29T00:00:00"/>
    <s v="Raw Materials"/>
    <x v="1"/>
    <n v="177"/>
    <n v="90.06"/>
    <n v="87.71"/>
    <n v="7"/>
    <s v="Yes"/>
    <n v="15524.669999999998"/>
  </r>
  <r>
    <s v="PO-00484"/>
    <x v="1"/>
    <d v="2022-01-25T00:00:00"/>
    <m/>
    <s v="Electronics"/>
    <x v="1"/>
    <n v="67"/>
    <n v="84.72"/>
    <n v="73.06"/>
    <n v="9"/>
    <s v="Yes"/>
    <n v="4895.0200000000004"/>
  </r>
  <r>
    <s v="PO-00485"/>
    <x v="2"/>
    <d v="2023-11-07T00:00:00"/>
    <d v="2023-11-20T00:00:00"/>
    <s v="Office Supplies"/>
    <x v="1"/>
    <n v="1866"/>
    <n v="50.78"/>
    <n v="48.2"/>
    <n v="96"/>
    <s v="Yes"/>
    <n v="89941.200000000012"/>
  </r>
  <r>
    <s v="PO-00486"/>
    <x v="3"/>
    <d v="2022-07-17T00:00:00"/>
    <d v="2022-07-25T00:00:00"/>
    <s v="MRO"/>
    <x v="1"/>
    <n v="1808"/>
    <n v="72.23"/>
    <n v="67.86"/>
    <n v="53"/>
    <s v="Yes"/>
    <n v="122690.88"/>
  </r>
  <r>
    <s v="PO-00487"/>
    <x v="1"/>
    <d v="2023-02-13T00:00:00"/>
    <d v="2023-02-16T00:00:00"/>
    <s v="Electronics"/>
    <x v="0"/>
    <n v="615"/>
    <n v="30.3"/>
    <n v="29.52"/>
    <n v="96"/>
    <s v="Yes"/>
    <n v="18154.8"/>
  </r>
  <r>
    <s v="PO-00488"/>
    <x v="2"/>
    <d v="2022-12-03T00:00:00"/>
    <d v="2022-12-04T00:00:00"/>
    <s v="Office Supplies"/>
    <x v="3"/>
    <n v="619"/>
    <n v="38.380000000000003"/>
    <n v="35.020000000000003"/>
    <n v="34"/>
    <s v="Yes"/>
    <n v="21677.38"/>
  </r>
  <r>
    <s v="PO-00489"/>
    <x v="1"/>
    <d v="2022-10-13T00:00:00"/>
    <d v="2022-10-17T00:00:00"/>
    <s v="Office Supplies"/>
    <x v="1"/>
    <n v="1396"/>
    <n v="94.75"/>
    <n v="84.06"/>
    <n v="210"/>
    <s v="Yes"/>
    <n v="117347.76000000001"/>
  </r>
  <r>
    <s v="PO-00490"/>
    <x v="2"/>
    <d v="2022-03-13T00:00:00"/>
    <d v="2022-03-24T00:00:00"/>
    <s v="MRO"/>
    <x v="1"/>
    <n v="1945"/>
    <n v="11.28"/>
    <n v="9.98"/>
    <n v="94"/>
    <s v="Yes"/>
    <n v="19411.100000000002"/>
  </r>
  <r>
    <s v="PO-00491"/>
    <x v="1"/>
    <d v="2022-10-13T00:00:00"/>
    <d v="2022-10-18T00:00:00"/>
    <s v="Packaging"/>
    <x v="1"/>
    <n v="735"/>
    <n v="18.489999999999998"/>
    <n v="15.89"/>
    <n v="113"/>
    <s v="No"/>
    <n v="11679.15"/>
  </r>
  <r>
    <s v="PO-00492"/>
    <x v="3"/>
    <d v="2022-12-26T00:00:00"/>
    <d v="2023-01-11T00:00:00"/>
    <s v="Office Supplies"/>
    <x v="3"/>
    <n v="1865"/>
    <n v="30.29"/>
    <n v="26.83"/>
    <n v="56"/>
    <s v="Yes"/>
    <n v="50037.95"/>
  </r>
  <r>
    <s v="PO-00493"/>
    <x v="4"/>
    <d v="2023-10-19T00:00:00"/>
    <d v="2023-10-24T00:00:00"/>
    <s v="Electronics"/>
    <x v="0"/>
    <n v="675"/>
    <n v="13.69"/>
    <n v="11.84"/>
    <n v="52"/>
    <s v="Yes"/>
    <n v="7992"/>
  </r>
  <r>
    <s v="PO-00494"/>
    <x v="2"/>
    <d v="2023-06-06T00:00:00"/>
    <d v="2023-06-22T00:00:00"/>
    <s v="MRO"/>
    <x v="3"/>
    <n v="1361"/>
    <n v="28.57"/>
    <n v="24.29"/>
    <n v="65"/>
    <s v="Yes"/>
    <n v="33058.69"/>
  </r>
  <r>
    <s v="PO-00495"/>
    <x v="2"/>
    <d v="2023-02-14T00:00:00"/>
    <d v="2023-02-15T00:00:00"/>
    <s v="Raw Materials"/>
    <x v="1"/>
    <n v="903"/>
    <n v="66.53"/>
    <n v="60.15"/>
    <n v="29"/>
    <s v="Yes"/>
    <n v="54315.45"/>
  </r>
  <r>
    <s v="PO-00496"/>
    <x v="3"/>
    <d v="2023-11-27T00:00:00"/>
    <m/>
    <s v="Packaging"/>
    <x v="0"/>
    <n v="1736"/>
    <n v="53.2"/>
    <n v="50.68"/>
    <n v="48"/>
    <s v="Yes"/>
    <n v="87980.479999999996"/>
  </r>
  <r>
    <s v="PO-00497"/>
    <x v="4"/>
    <d v="2023-07-04T00:00:00"/>
    <d v="2023-07-11T00:00:00"/>
    <s v="MRO"/>
    <x v="1"/>
    <n v="1011"/>
    <n v="98.47"/>
    <n v="97.06"/>
    <n v="91"/>
    <s v="Yes"/>
    <n v="98127.66"/>
  </r>
  <r>
    <s v="PO-00498"/>
    <x v="1"/>
    <d v="2022-12-06T00:00:00"/>
    <d v="2022-12-24T00:00:00"/>
    <s v="Electronics"/>
    <x v="1"/>
    <n v="1712"/>
    <n v="88.17"/>
    <n v="85.86"/>
    <n v="246"/>
    <s v="Yes"/>
    <n v="146992.32000000001"/>
  </r>
  <r>
    <s v="PO-00499"/>
    <x v="2"/>
    <d v="2022-01-29T00:00:00"/>
    <m/>
    <s v="Office Supplies"/>
    <x v="1"/>
    <n v="204"/>
    <n v="40.76"/>
    <n v="37.46"/>
    <n v="10"/>
    <s v="Yes"/>
    <n v="7641.84"/>
  </r>
  <r>
    <s v="PO-00500"/>
    <x v="4"/>
    <d v="2022-04-29T00:00:00"/>
    <d v="2022-05-13T00:00:00"/>
    <s v="Electronics"/>
    <x v="2"/>
    <n v="539"/>
    <n v="33.85"/>
    <n v="30.57"/>
    <n v="34"/>
    <s v="No"/>
    <n v="16477.23"/>
  </r>
  <r>
    <s v="PO-00501"/>
    <x v="1"/>
    <d v="2022-09-25T00:00:00"/>
    <d v="2022-10-05T00:00:00"/>
    <s v="Office Supplies"/>
    <x v="1"/>
    <n v="1459"/>
    <n v="45.94"/>
    <n v="42.56"/>
    <n v="212"/>
    <s v="No"/>
    <n v="62095.040000000001"/>
  </r>
  <r>
    <s v="PO-00502"/>
    <x v="2"/>
    <d v="2022-07-02T00:00:00"/>
    <d v="2022-07-06T00:00:00"/>
    <s v="MRO"/>
    <x v="1"/>
    <n v="834"/>
    <n v="65.02"/>
    <n v="56.19"/>
    <m/>
    <s v="Yes"/>
    <n v="46862.46"/>
  </r>
  <r>
    <s v="PO-00503"/>
    <x v="2"/>
    <d v="2023-08-18T00:00:00"/>
    <d v="2023-09-01T00:00:00"/>
    <s v="Packaging"/>
    <x v="2"/>
    <n v="1177"/>
    <n v="37.369999999999997"/>
    <n v="34.270000000000003"/>
    <n v="60"/>
    <s v="Yes"/>
    <n v="40335.79"/>
  </r>
  <r>
    <s v="PO-00504"/>
    <x v="1"/>
    <d v="2022-09-29T00:00:00"/>
    <d v="2022-10-19T00:00:00"/>
    <s v="MRO"/>
    <x v="1"/>
    <n v="1466"/>
    <n v="68.819999999999993"/>
    <n v="66.819999999999993"/>
    <n v="211"/>
    <s v="Yes"/>
    <n v="97958.12"/>
  </r>
  <r>
    <s v="PO-00505"/>
    <x v="3"/>
    <d v="2022-02-09T00:00:00"/>
    <d v="2022-02-13T00:00:00"/>
    <s v="Electronics"/>
    <x v="1"/>
    <n v="1884"/>
    <n v="47.08"/>
    <n v="44.31"/>
    <n v="54"/>
    <s v="Yes"/>
    <n v="83480.040000000008"/>
  </r>
  <r>
    <s v="PO-00506"/>
    <x v="4"/>
    <d v="2022-04-22T00:00:00"/>
    <d v="2022-05-08T00:00:00"/>
    <s v="Electronics"/>
    <x v="1"/>
    <n v="295"/>
    <n v="60.58"/>
    <n v="57.32"/>
    <n v="31"/>
    <s v="Yes"/>
    <n v="16909.400000000001"/>
  </r>
  <r>
    <s v="PO-00507"/>
    <x v="2"/>
    <d v="2023-09-03T00:00:00"/>
    <d v="2023-09-04T00:00:00"/>
    <s v="Raw Materials"/>
    <x v="1"/>
    <n v="1249"/>
    <n v="54.18"/>
    <n v="47.29"/>
    <n v="59"/>
    <s v="Yes"/>
    <n v="59065.21"/>
  </r>
  <r>
    <s v="PO-00508"/>
    <x v="1"/>
    <d v="2023-03-21T00:00:00"/>
    <d v="2023-04-09T00:00:00"/>
    <s v="Raw Materials"/>
    <x v="1"/>
    <n v="1112"/>
    <n v="39.06"/>
    <n v="33.6"/>
    <n v="184"/>
    <s v="No"/>
    <n v="37363.200000000004"/>
  </r>
  <r>
    <s v="PO-00509"/>
    <x v="2"/>
    <d v="2022-12-20T00:00:00"/>
    <d v="2022-12-25T00:00:00"/>
    <s v="Office Supplies"/>
    <x v="1"/>
    <n v="1550"/>
    <n v="100.61"/>
    <n v="97.43"/>
    <n v="66"/>
    <s v="Yes"/>
    <n v="151016.5"/>
  </r>
  <r>
    <s v="PO-00510"/>
    <x v="1"/>
    <d v="2022-11-18T00:00:00"/>
    <d v="2022-11-19T00:00:00"/>
    <s v="Electronics"/>
    <x v="1"/>
    <n v="1755"/>
    <n v="82.66"/>
    <n v="73.67"/>
    <n v="258"/>
    <s v="No"/>
    <n v="129290.85"/>
  </r>
  <r>
    <s v="PO-00511"/>
    <x v="2"/>
    <d v="2023-03-23T00:00:00"/>
    <d v="2023-03-31T00:00:00"/>
    <s v="Raw Materials"/>
    <x v="1"/>
    <n v="808"/>
    <n v="24.19"/>
    <n v="21.64"/>
    <n v="39"/>
    <s v="Yes"/>
    <n v="17485.12"/>
  </r>
  <r>
    <s v="PO-00512"/>
    <x v="0"/>
    <d v="2023-09-13T00:00:00"/>
    <d v="2023-09-19T00:00:00"/>
    <s v="Raw Materials"/>
    <x v="2"/>
    <n v="587"/>
    <n v="96.98"/>
    <n v="95.35"/>
    <n v="14"/>
    <s v="Yes"/>
    <n v="55970.45"/>
  </r>
  <r>
    <s v="PO-00513"/>
    <x v="3"/>
    <d v="2023-06-08T00:00:00"/>
    <d v="2023-06-11T00:00:00"/>
    <s v="MRO"/>
    <x v="1"/>
    <n v="1940"/>
    <n v="58.45"/>
    <n v="50.29"/>
    <n v="54"/>
    <s v="Yes"/>
    <n v="97562.599999999991"/>
  </r>
  <r>
    <s v="PO-00514"/>
    <x v="4"/>
    <d v="2022-04-29T00:00:00"/>
    <d v="2022-05-11T00:00:00"/>
    <s v="Office Supplies"/>
    <x v="0"/>
    <n v="1891"/>
    <n v="91.87"/>
    <n v="80.28"/>
    <n v="158"/>
    <s v="Yes"/>
    <n v="151809.48000000001"/>
  </r>
  <r>
    <s v="PO-00515"/>
    <x v="3"/>
    <d v="2023-01-30T00:00:00"/>
    <d v="2023-02-16T00:00:00"/>
    <s v="Packaging"/>
    <x v="1"/>
    <n v="970"/>
    <n v="86.91"/>
    <n v="78.44"/>
    <n v="18"/>
    <s v="Yes"/>
    <n v="76086.8"/>
  </r>
  <r>
    <s v="PO-00516"/>
    <x v="3"/>
    <d v="2023-08-14T00:00:00"/>
    <d v="2023-08-31T00:00:00"/>
    <s v="MRO"/>
    <x v="1"/>
    <n v="457"/>
    <n v="52.85"/>
    <n v="50.34"/>
    <n v="16"/>
    <s v="Yes"/>
    <n v="23005.38"/>
  </r>
  <r>
    <s v="PO-00517"/>
    <x v="4"/>
    <d v="2022-07-14T00:00:00"/>
    <d v="2022-07-27T00:00:00"/>
    <s v="Office Supplies"/>
    <x v="0"/>
    <n v="574"/>
    <n v="12.38"/>
    <n v="11.47"/>
    <m/>
    <s v="No"/>
    <n v="6583.7800000000007"/>
  </r>
  <r>
    <s v="PO-00518"/>
    <x v="3"/>
    <d v="2022-09-18T00:00:00"/>
    <d v="2022-09-20T00:00:00"/>
    <s v="Office Supplies"/>
    <x v="1"/>
    <n v="877"/>
    <n v="35.549999999999997"/>
    <n v="34.69"/>
    <n v="24"/>
    <s v="Yes"/>
    <n v="30423.129999999997"/>
  </r>
  <r>
    <s v="PO-00519"/>
    <x v="0"/>
    <d v="2022-02-15T00:00:00"/>
    <d v="2022-02-27T00:00:00"/>
    <s v="MRO"/>
    <x v="1"/>
    <n v="1579"/>
    <n v="59.04"/>
    <n v="50.95"/>
    <n v="29"/>
    <s v="Yes"/>
    <n v="80450.05"/>
  </r>
  <r>
    <s v="PO-00520"/>
    <x v="1"/>
    <d v="2023-12-27T00:00:00"/>
    <d v="2023-12-28T00:00:00"/>
    <s v="Raw Materials"/>
    <x v="1"/>
    <n v="952"/>
    <n v="74.72"/>
    <n v="69.73"/>
    <m/>
    <s v="Yes"/>
    <n v="66382.960000000006"/>
  </r>
  <r>
    <s v="PO-00521"/>
    <x v="4"/>
    <d v="2023-03-23T00:00:00"/>
    <d v="2023-03-26T00:00:00"/>
    <s v="Raw Materials"/>
    <x v="3"/>
    <n v="1898"/>
    <n v="35.53"/>
    <n v="33.25"/>
    <n v="187"/>
    <s v="Yes"/>
    <n v="63108.5"/>
  </r>
  <r>
    <s v="PO-00522"/>
    <x v="1"/>
    <d v="2022-01-02T00:00:00"/>
    <d v="2022-01-06T00:00:00"/>
    <s v="Packaging"/>
    <x v="1"/>
    <n v="85"/>
    <n v="22.54"/>
    <n v="20.68"/>
    <n v="6"/>
    <s v="Yes"/>
    <n v="1757.8"/>
  </r>
  <r>
    <s v="PO-00523"/>
    <x v="2"/>
    <d v="2023-06-17T00:00:00"/>
    <d v="2023-06-28T00:00:00"/>
    <s v="Packaging"/>
    <x v="3"/>
    <n v="734"/>
    <n v="92.38"/>
    <n v="78.92"/>
    <n v="34"/>
    <s v="No"/>
    <n v="57927.28"/>
  </r>
  <r>
    <s v="PO-00524"/>
    <x v="0"/>
    <d v="2023-07-06T00:00:00"/>
    <d v="2023-07-18T00:00:00"/>
    <s v="Office Supplies"/>
    <x v="1"/>
    <n v="69"/>
    <n v="107.47"/>
    <n v="105.53"/>
    <m/>
    <s v="Yes"/>
    <n v="7281.57"/>
  </r>
  <r>
    <s v="PO-00525"/>
    <x v="1"/>
    <d v="2023-12-05T00:00:00"/>
    <d v="2023-12-11T00:00:00"/>
    <s v="Packaging"/>
    <x v="1"/>
    <n v="370"/>
    <n v="63.9"/>
    <n v="55.79"/>
    <n v="59"/>
    <s v="Yes"/>
    <n v="20642.3"/>
  </r>
  <r>
    <s v="PO-00526"/>
    <x v="1"/>
    <d v="2023-11-18T00:00:00"/>
    <d v="2023-12-03T00:00:00"/>
    <s v="MRO"/>
    <x v="1"/>
    <n v="1849"/>
    <n v="28.25"/>
    <n v="27.53"/>
    <n v="271"/>
    <s v="Yes"/>
    <n v="50902.97"/>
  </r>
  <r>
    <s v="PO-00527"/>
    <x v="4"/>
    <d v="2022-07-21T00:00:00"/>
    <m/>
    <s v="Packaging"/>
    <x v="1"/>
    <n v="561"/>
    <n v="35.54"/>
    <n v="30.99"/>
    <n v="68"/>
    <s v="No"/>
    <n v="17385.39"/>
  </r>
  <r>
    <s v="PO-00528"/>
    <x v="2"/>
    <d v="2023-01-08T00:00:00"/>
    <d v="2023-01-14T00:00:00"/>
    <s v="Electronics"/>
    <x v="1"/>
    <n v="449"/>
    <n v="12.35"/>
    <n v="10.67"/>
    <n v="29"/>
    <s v="Yes"/>
    <n v="4790.83"/>
  </r>
  <r>
    <s v="PO-00529"/>
    <x v="4"/>
    <d v="2023-03-18T00:00:00"/>
    <d v="2023-03-21T00:00:00"/>
    <s v="Office Supplies"/>
    <x v="1"/>
    <n v="703"/>
    <n v="98.75"/>
    <n v="86.78"/>
    <n v="59"/>
    <s v="Yes"/>
    <n v="61006.340000000004"/>
  </r>
  <r>
    <s v="PO-00530"/>
    <x v="2"/>
    <d v="2022-03-13T00:00:00"/>
    <d v="2022-03-28T00:00:00"/>
    <s v="Electronics"/>
    <x v="1"/>
    <n v="1021"/>
    <n v="20.8"/>
    <n v="18.23"/>
    <n v="37"/>
    <s v="Yes"/>
    <n v="18612.830000000002"/>
  </r>
  <r>
    <s v="PO-00531"/>
    <x v="4"/>
    <d v="2023-11-12T00:00:00"/>
    <d v="2023-11-19T00:00:00"/>
    <s v="Office Supplies"/>
    <x v="1"/>
    <n v="1956"/>
    <n v="68.69"/>
    <n v="65.09"/>
    <m/>
    <s v="Yes"/>
    <n v="127316.04000000001"/>
  </r>
  <r>
    <s v="PO-00532"/>
    <x v="1"/>
    <d v="2022-12-05T00:00:00"/>
    <d v="2022-12-12T00:00:00"/>
    <s v="Office Supplies"/>
    <x v="2"/>
    <n v="520"/>
    <n v="36.57"/>
    <n v="34.78"/>
    <n v="67"/>
    <s v="No"/>
    <n v="18085.600000000002"/>
  </r>
  <r>
    <s v="PO-00533"/>
    <x v="1"/>
    <d v="2023-10-01T00:00:00"/>
    <d v="2023-10-12T00:00:00"/>
    <s v="MRO"/>
    <x v="1"/>
    <n v="1216"/>
    <n v="66.16"/>
    <n v="63"/>
    <n v="179"/>
    <s v="No"/>
    <n v="76608"/>
  </r>
  <r>
    <s v="PO-00534"/>
    <x v="0"/>
    <d v="2022-11-18T00:00:00"/>
    <m/>
    <s v="Raw Materials"/>
    <x v="1"/>
    <n v="1165"/>
    <n v="72.06"/>
    <n v="63.93"/>
    <m/>
    <s v="Yes"/>
    <n v="74478.45"/>
  </r>
  <r>
    <s v="PO-00535"/>
    <x v="1"/>
    <d v="2023-11-11T00:00:00"/>
    <d v="2023-11-29T00:00:00"/>
    <s v="Packaging"/>
    <x v="3"/>
    <n v="1427"/>
    <n v="93.99"/>
    <n v="83.6"/>
    <n v="213"/>
    <s v="Yes"/>
    <n v="119297.2"/>
  </r>
  <r>
    <s v="PO-00536"/>
    <x v="3"/>
    <d v="2022-05-08T00:00:00"/>
    <d v="2022-05-10T00:00:00"/>
    <s v="Electronics"/>
    <x v="1"/>
    <n v="883"/>
    <n v="29.15"/>
    <n v="25.75"/>
    <n v="14"/>
    <s v="Yes"/>
    <n v="22737.25"/>
  </r>
  <r>
    <s v="PO-00537"/>
    <x v="1"/>
    <d v="2022-11-04T00:00:00"/>
    <d v="2022-11-11T00:00:00"/>
    <s v="Packaging"/>
    <x v="2"/>
    <n v="1873"/>
    <n v="11.54"/>
    <n v="9.89"/>
    <n v="284"/>
    <s v="No"/>
    <n v="18523.97"/>
  </r>
  <r>
    <s v="PO-00538"/>
    <x v="3"/>
    <d v="2023-06-04T00:00:00"/>
    <d v="2023-06-06T00:00:00"/>
    <s v="Office Supplies"/>
    <x v="1"/>
    <n v="776"/>
    <n v="24.22"/>
    <n v="22.53"/>
    <n v="27"/>
    <s v="Yes"/>
    <n v="17483.280000000002"/>
  </r>
  <r>
    <s v="PO-00539"/>
    <x v="1"/>
    <d v="2022-11-13T00:00:00"/>
    <d v="2022-11-24T00:00:00"/>
    <s v="Electronics"/>
    <x v="1"/>
    <n v="903"/>
    <n v="95.55"/>
    <n v="92.45"/>
    <n v="149"/>
    <s v="No"/>
    <n v="83482.350000000006"/>
  </r>
  <r>
    <s v="PO-00540"/>
    <x v="3"/>
    <d v="2023-11-14T00:00:00"/>
    <d v="2023-11-26T00:00:00"/>
    <s v="Electronics"/>
    <x v="1"/>
    <n v="100"/>
    <n v="98.4"/>
    <n v="85.76"/>
    <n v="3"/>
    <s v="Yes"/>
    <n v="8576"/>
  </r>
  <r>
    <s v="PO-00541"/>
    <x v="3"/>
    <d v="2023-02-23T00:00:00"/>
    <d v="2023-03-08T00:00:00"/>
    <s v="Office Supplies"/>
    <x v="1"/>
    <n v="1738"/>
    <n v="67.91"/>
    <n v="61.15"/>
    <m/>
    <s v="Yes"/>
    <n v="106278.7"/>
  </r>
  <r>
    <s v="PO-00542"/>
    <x v="1"/>
    <d v="2022-12-01T00:00:00"/>
    <d v="2022-12-14T00:00:00"/>
    <s v="Packaging"/>
    <x v="1"/>
    <n v="1771"/>
    <n v="67.569999999999993"/>
    <n v="61.48"/>
    <n v="280"/>
    <s v="No"/>
    <n v="108881.07999999999"/>
  </r>
  <r>
    <s v="PO-00543"/>
    <x v="3"/>
    <d v="2023-02-17T00:00:00"/>
    <d v="2023-02-23T00:00:00"/>
    <s v="Electronics"/>
    <x v="1"/>
    <n v="624"/>
    <n v="74.39"/>
    <n v="66.3"/>
    <n v="18"/>
    <s v="No"/>
    <n v="41371.199999999997"/>
  </r>
  <r>
    <s v="PO-00544"/>
    <x v="0"/>
    <d v="2023-12-15T00:00:00"/>
    <d v="2023-12-31T00:00:00"/>
    <s v="Packaging"/>
    <x v="2"/>
    <n v="1263"/>
    <n v="28.75"/>
    <n v="27.1"/>
    <n v="26"/>
    <s v="Yes"/>
    <n v="34227.300000000003"/>
  </r>
  <r>
    <s v="PO-00545"/>
    <x v="2"/>
    <d v="2022-10-30T00:00:00"/>
    <d v="2022-11-16T00:00:00"/>
    <s v="Electronics"/>
    <x v="0"/>
    <n v="1198"/>
    <n v="96.45"/>
    <n v="90.09"/>
    <m/>
    <s v="Yes"/>
    <n v="107927.82"/>
  </r>
  <r>
    <s v="PO-00546"/>
    <x v="3"/>
    <d v="2023-07-22T00:00:00"/>
    <d v="2023-07-25T00:00:00"/>
    <s v="Raw Materials"/>
    <x v="1"/>
    <n v="199"/>
    <n v="51.98"/>
    <n v="45.64"/>
    <m/>
    <s v="No"/>
    <n v="9082.36"/>
  </r>
  <r>
    <s v="PO-00547"/>
    <x v="3"/>
    <d v="2022-05-11T00:00:00"/>
    <d v="2022-05-14T00:00:00"/>
    <s v="MRO"/>
    <x v="3"/>
    <n v="363"/>
    <n v="45.37"/>
    <n v="38.729999999999997"/>
    <m/>
    <s v="Yes"/>
    <n v="14058.989999999998"/>
  </r>
  <r>
    <s v="PO-00548"/>
    <x v="0"/>
    <d v="2022-07-16T00:00:00"/>
    <d v="2022-07-22T00:00:00"/>
    <s v="Office Supplies"/>
    <x v="1"/>
    <n v="619"/>
    <n v="58.4"/>
    <n v="51.04"/>
    <m/>
    <s v="Yes"/>
    <n v="31593.759999999998"/>
  </r>
  <r>
    <s v="PO-00549"/>
    <x v="0"/>
    <d v="2023-03-07T00:00:00"/>
    <d v="2023-03-18T00:00:00"/>
    <s v="MRO"/>
    <x v="1"/>
    <n v="1415"/>
    <n v="15.22"/>
    <n v="13.56"/>
    <n v="30"/>
    <s v="Yes"/>
    <n v="19187.400000000001"/>
  </r>
  <r>
    <s v="PO-00550"/>
    <x v="4"/>
    <d v="2023-11-12T00:00:00"/>
    <d v="2023-11-23T00:00:00"/>
    <s v="Packaging"/>
    <x v="1"/>
    <n v="354"/>
    <n v="27.71"/>
    <n v="23.87"/>
    <n v="39"/>
    <s v="No"/>
    <n v="8449.98"/>
  </r>
  <r>
    <s v="PO-00551"/>
    <x v="2"/>
    <d v="2023-01-24T00:00:00"/>
    <d v="2023-02-03T00:00:00"/>
    <s v="MRO"/>
    <x v="1"/>
    <n v="1765"/>
    <n v="81.010000000000005"/>
    <n v="78.430000000000007"/>
    <n v="78"/>
    <s v="Yes"/>
    <n v="138428.95000000001"/>
  </r>
  <r>
    <s v="PO-00552"/>
    <x v="4"/>
    <d v="2023-11-25T00:00:00"/>
    <d v="2023-12-09T00:00:00"/>
    <s v="MRO"/>
    <x v="1"/>
    <n v="731"/>
    <n v="19.37"/>
    <n v="17.3"/>
    <n v="69"/>
    <s v="No"/>
    <n v="12646.300000000001"/>
  </r>
  <r>
    <s v="PO-00553"/>
    <x v="3"/>
    <d v="2022-06-28T00:00:00"/>
    <d v="2022-07-13T00:00:00"/>
    <s v="MRO"/>
    <x v="1"/>
    <n v="887"/>
    <n v="65.89"/>
    <n v="59.67"/>
    <n v="29"/>
    <s v="Yes"/>
    <n v="52927.29"/>
  </r>
  <r>
    <s v="PO-00554"/>
    <x v="0"/>
    <d v="2023-09-23T00:00:00"/>
    <d v="2023-09-25T00:00:00"/>
    <s v="MRO"/>
    <x v="1"/>
    <n v="1856"/>
    <n v="35.29"/>
    <n v="32.409999999999997"/>
    <n v="26"/>
    <s v="Yes"/>
    <n v="60152.959999999992"/>
  </r>
  <r>
    <s v="PO-00555"/>
    <x v="3"/>
    <d v="2023-08-06T00:00:00"/>
    <d v="2023-08-18T00:00:00"/>
    <s v="Office Supplies"/>
    <x v="1"/>
    <n v="1127"/>
    <n v="49.32"/>
    <n v="46.49"/>
    <n v="30"/>
    <s v="Yes"/>
    <n v="52394.23"/>
  </r>
  <r>
    <s v="PO-00556"/>
    <x v="1"/>
    <d v="2022-11-05T00:00:00"/>
    <d v="2022-11-19T00:00:00"/>
    <s v="Raw Materials"/>
    <x v="1"/>
    <n v="1052"/>
    <n v="37.78"/>
    <n v="32.6"/>
    <n v="162"/>
    <s v="Yes"/>
    <n v="34295.200000000004"/>
  </r>
  <r>
    <s v="PO-00557"/>
    <x v="2"/>
    <d v="2023-02-20T00:00:00"/>
    <d v="2023-02-22T00:00:00"/>
    <s v="Raw Materials"/>
    <x v="1"/>
    <n v="493"/>
    <n v="44.74"/>
    <n v="41.44"/>
    <n v="24"/>
    <s v="No"/>
    <n v="20429.919999999998"/>
  </r>
  <r>
    <s v="PO-00558"/>
    <x v="1"/>
    <d v="2023-07-16T00:00:00"/>
    <d v="2023-07-29T00:00:00"/>
    <s v="MRO"/>
    <x v="2"/>
    <n v="662"/>
    <n v="81.44"/>
    <n v="71.33"/>
    <n v="87"/>
    <s v="Yes"/>
    <n v="47220.46"/>
  </r>
  <r>
    <s v="PO-00559"/>
    <x v="0"/>
    <d v="2022-01-01T00:00:00"/>
    <d v="2022-01-07T00:00:00"/>
    <s v="Raw Materials"/>
    <x v="1"/>
    <n v="1042"/>
    <n v="36.74"/>
    <n v="35.78"/>
    <n v="33"/>
    <s v="Yes"/>
    <n v="37282.76"/>
  </r>
  <r>
    <s v="PO-00560"/>
    <x v="0"/>
    <d v="2022-11-08T00:00:00"/>
    <m/>
    <s v="Raw Materials"/>
    <x v="1"/>
    <n v="313"/>
    <n v="64.03"/>
    <n v="57.74"/>
    <n v="1"/>
    <s v="Yes"/>
    <n v="18072.62"/>
  </r>
  <r>
    <s v="PO-00561"/>
    <x v="0"/>
    <d v="2022-10-21T00:00:00"/>
    <d v="2022-11-10T00:00:00"/>
    <s v="Office Supplies"/>
    <x v="1"/>
    <n v="1126"/>
    <n v="55.22"/>
    <n v="50.38"/>
    <m/>
    <s v="Yes"/>
    <n v="56727.880000000005"/>
  </r>
  <r>
    <s v="PO-00562"/>
    <x v="2"/>
    <d v="2022-08-04T00:00:00"/>
    <d v="2022-08-19T00:00:00"/>
    <s v="MRO"/>
    <x v="1"/>
    <n v="1645"/>
    <n v="72.17"/>
    <n v="64"/>
    <n v="79"/>
    <s v="Yes"/>
    <n v="105280"/>
  </r>
  <r>
    <s v="PO-00563"/>
    <x v="4"/>
    <d v="2023-03-17T00:00:00"/>
    <d v="2023-03-20T00:00:00"/>
    <s v="Packaging"/>
    <x v="1"/>
    <n v="1053"/>
    <n v="100.92"/>
    <n v="92.35"/>
    <n v="104"/>
    <s v="Yes"/>
    <n v="97244.549999999988"/>
  </r>
  <r>
    <s v="PO-00564"/>
    <x v="3"/>
    <d v="2023-08-17T00:00:00"/>
    <d v="2023-08-29T00:00:00"/>
    <s v="MRO"/>
    <x v="1"/>
    <n v="1693"/>
    <n v="83.14"/>
    <n v="73.3"/>
    <n v="62"/>
    <s v="Yes"/>
    <n v="124096.9"/>
  </r>
  <r>
    <s v="PO-00565"/>
    <x v="3"/>
    <d v="2023-09-14T00:00:00"/>
    <d v="2023-10-03T00:00:00"/>
    <s v="Raw Materials"/>
    <x v="3"/>
    <n v="54"/>
    <n v="32.28"/>
    <n v="28.65"/>
    <n v="3"/>
    <s v="Yes"/>
    <n v="1547.1"/>
  </r>
  <r>
    <s v="PO-00566"/>
    <x v="3"/>
    <d v="2023-11-02T00:00:00"/>
    <d v="2023-11-07T00:00:00"/>
    <s v="Packaging"/>
    <x v="1"/>
    <n v="1176"/>
    <n v="14.22"/>
    <n v="12.21"/>
    <n v="33"/>
    <s v="Yes"/>
    <n v="14358.960000000001"/>
  </r>
  <r>
    <s v="PO-00567"/>
    <x v="3"/>
    <d v="2022-11-26T00:00:00"/>
    <d v="2022-12-08T00:00:00"/>
    <s v="Raw Materials"/>
    <x v="1"/>
    <n v="1269"/>
    <n v="35.28"/>
    <n v="33.700000000000003"/>
    <n v="35"/>
    <s v="Yes"/>
    <n v="42765.3"/>
  </r>
  <r>
    <s v="PO-00568"/>
    <x v="3"/>
    <d v="2023-04-22T00:00:00"/>
    <d v="2023-04-25T00:00:00"/>
    <s v="Raw Materials"/>
    <x v="1"/>
    <n v="823"/>
    <n v="68.319999999999993"/>
    <n v="64.459999999999994"/>
    <n v="19"/>
    <s v="Yes"/>
    <n v="53050.579999999994"/>
  </r>
  <r>
    <s v="PO-00569"/>
    <x v="4"/>
    <d v="2023-03-29T00:00:00"/>
    <d v="2023-04-15T00:00:00"/>
    <s v="Electronics"/>
    <x v="1"/>
    <n v="926"/>
    <n v="15.65"/>
    <n v="13.49"/>
    <n v="94"/>
    <s v="No"/>
    <n v="12491.74"/>
  </r>
  <r>
    <s v="PO-00570"/>
    <x v="1"/>
    <d v="2023-03-29T00:00:00"/>
    <d v="2023-04-09T00:00:00"/>
    <s v="Electronics"/>
    <x v="0"/>
    <n v="1041"/>
    <n v="58.5"/>
    <n v="52.54"/>
    <n v="170"/>
    <s v="No"/>
    <n v="54694.14"/>
  </r>
  <r>
    <s v="PO-00571"/>
    <x v="2"/>
    <d v="2023-11-23T00:00:00"/>
    <d v="2023-12-01T00:00:00"/>
    <s v="Electronics"/>
    <x v="3"/>
    <n v="933"/>
    <n v="70.72"/>
    <n v="65.47"/>
    <n v="42"/>
    <s v="Yes"/>
    <n v="61083.51"/>
  </r>
  <r>
    <s v="PO-00572"/>
    <x v="1"/>
    <d v="2022-08-07T00:00:00"/>
    <m/>
    <s v="Raw Materials"/>
    <x v="1"/>
    <n v="1423"/>
    <n v="41.48"/>
    <n v="40.9"/>
    <n v="199"/>
    <s v="Yes"/>
    <n v="58200.7"/>
  </r>
  <r>
    <s v="PO-00573"/>
    <x v="1"/>
    <d v="2023-06-08T00:00:00"/>
    <d v="2023-06-14T00:00:00"/>
    <s v="MRO"/>
    <x v="1"/>
    <n v="96"/>
    <n v="86.13"/>
    <n v="80.319999999999993"/>
    <n v="12"/>
    <s v="No"/>
    <n v="7710.7199999999993"/>
  </r>
  <r>
    <s v="PO-00574"/>
    <x v="3"/>
    <d v="2023-04-30T00:00:00"/>
    <d v="2023-05-13T00:00:00"/>
    <s v="MRO"/>
    <x v="1"/>
    <n v="916"/>
    <n v="21.06"/>
    <n v="19.53"/>
    <n v="25"/>
    <s v="Yes"/>
    <n v="17889.48"/>
  </r>
  <r>
    <s v="PO-00575"/>
    <x v="3"/>
    <d v="2022-06-23T00:00:00"/>
    <m/>
    <s v="Raw Materials"/>
    <x v="1"/>
    <n v="872"/>
    <n v="17.18"/>
    <n v="16.63"/>
    <n v="20"/>
    <s v="Yes"/>
    <n v="14501.359999999999"/>
  </r>
  <r>
    <s v="PO-00576"/>
    <x v="4"/>
    <d v="2023-11-06T00:00:00"/>
    <d v="2023-11-15T00:00:00"/>
    <s v="Electronics"/>
    <x v="1"/>
    <n v="985"/>
    <n v="83.85"/>
    <n v="80.88"/>
    <m/>
    <s v="No"/>
    <n v="79666.799999999988"/>
  </r>
  <r>
    <s v="PO-00577"/>
    <x v="2"/>
    <d v="2022-03-28T00:00:00"/>
    <d v="2022-04-04T00:00:00"/>
    <s v="Raw Materials"/>
    <x v="1"/>
    <n v="1893"/>
    <n v="55.14"/>
    <n v="50.1"/>
    <n v="98"/>
    <s v="Yes"/>
    <n v="94839.3"/>
  </r>
  <r>
    <s v="PO-00578"/>
    <x v="0"/>
    <d v="2022-10-18T00:00:00"/>
    <m/>
    <s v="MRO"/>
    <x v="1"/>
    <n v="705"/>
    <n v="75.19"/>
    <n v="69.55"/>
    <n v="19"/>
    <s v="Yes"/>
    <n v="49032.75"/>
  </r>
  <r>
    <s v="PO-00579"/>
    <x v="1"/>
    <d v="2023-06-12T00:00:00"/>
    <d v="2023-06-28T00:00:00"/>
    <s v="MRO"/>
    <x v="1"/>
    <n v="318"/>
    <n v="53.31"/>
    <n v="51.78"/>
    <m/>
    <s v="No"/>
    <n v="16466.04"/>
  </r>
  <r>
    <s v="PO-00580"/>
    <x v="0"/>
    <d v="2023-11-11T00:00:00"/>
    <d v="2023-11-16T00:00:00"/>
    <s v="Office Supplies"/>
    <x v="3"/>
    <n v="419"/>
    <n v="35.72"/>
    <n v="32.74"/>
    <n v="7"/>
    <s v="Yes"/>
    <n v="13718.060000000001"/>
  </r>
  <r>
    <s v="PO-00581"/>
    <x v="2"/>
    <d v="2023-10-11T00:00:00"/>
    <d v="2023-10-26T00:00:00"/>
    <s v="MRO"/>
    <x v="1"/>
    <n v="685"/>
    <n v="92.51"/>
    <n v="90.05"/>
    <n v="38"/>
    <s v="Yes"/>
    <n v="61684.25"/>
  </r>
  <r>
    <s v="PO-00582"/>
    <x v="1"/>
    <d v="2023-09-27T00:00:00"/>
    <d v="2023-10-12T00:00:00"/>
    <s v="Office Supplies"/>
    <x v="2"/>
    <n v="1179"/>
    <n v="90.14"/>
    <n v="82.63"/>
    <n v="194"/>
    <s v="Yes"/>
    <n v="97420.76999999999"/>
  </r>
  <r>
    <s v="PO-00583"/>
    <x v="0"/>
    <d v="2022-12-10T00:00:00"/>
    <m/>
    <s v="Raw Materials"/>
    <x v="1"/>
    <n v="1743"/>
    <n v="76.510000000000005"/>
    <n v="65.88"/>
    <n v="40"/>
    <s v="Yes"/>
    <n v="114828.84"/>
  </r>
  <r>
    <s v="PO-00584"/>
    <x v="0"/>
    <d v="2022-04-06T00:00:00"/>
    <d v="2022-04-17T00:00:00"/>
    <s v="MRO"/>
    <x v="1"/>
    <n v="1732"/>
    <n v="35.01"/>
    <n v="34.18"/>
    <n v="40"/>
    <s v="Yes"/>
    <n v="59199.76"/>
  </r>
  <r>
    <s v="PO-00585"/>
    <x v="4"/>
    <d v="2022-08-29T00:00:00"/>
    <d v="2022-09-01T00:00:00"/>
    <s v="Office Supplies"/>
    <x v="1"/>
    <n v="706"/>
    <n v="65.33"/>
    <n v="62.06"/>
    <n v="60"/>
    <s v="No"/>
    <n v="43814.36"/>
  </r>
  <r>
    <s v="PO-00586"/>
    <x v="2"/>
    <d v="2023-11-20T00:00:00"/>
    <d v="2023-11-30T00:00:00"/>
    <s v="MRO"/>
    <x v="0"/>
    <n v="169"/>
    <n v="47.16"/>
    <n v="43.4"/>
    <m/>
    <s v="Yes"/>
    <n v="7334.5999999999995"/>
  </r>
  <r>
    <s v="PO-00587"/>
    <x v="2"/>
    <d v="2022-11-14T00:00:00"/>
    <d v="2022-11-20T00:00:00"/>
    <s v="Office Supplies"/>
    <x v="3"/>
    <n v="880"/>
    <n v="19.149999999999999"/>
    <n v="18.690000000000001"/>
    <m/>
    <s v="No"/>
    <n v="16447.2"/>
  </r>
  <r>
    <s v="PO-00588"/>
    <x v="2"/>
    <d v="2022-08-19T00:00:00"/>
    <d v="2022-08-25T00:00:00"/>
    <s v="MRO"/>
    <x v="1"/>
    <n v="1860"/>
    <n v="95.8"/>
    <n v="92.17"/>
    <n v="105"/>
    <s v="No"/>
    <n v="171436.2"/>
  </r>
  <r>
    <s v="PO-00589"/>
    <x v="1"/>
    <d v="2022-07-23T00:00:00"/>
    <d v="2022-08-09T00:00:00"/>
    <s v="MRO"/>
    <x v="1"/>
    <n v="1677"/>
    <n v="22.98"/>
    <n v="21.71"/>
    <n v="246"/>
    <s v="Yes"/>
    <n v="36407.67"/>
  </r>
  <r>
    <s v="PO-00590"/>
    <x v="4"/>
    <d v="2022-05-31T00:00:00"/>
    <d v="2022-06-07T00:00:00"/>
    <s v="Packaging"/>
    <x v="2"/>
    <n v="1131"/>
    <n v="97.43"/>
    <n v="91.28"/>
    <n v="103"/>
    <s v="Yes"/>
    <n v="103237.68000000001"/>
  </r>
  <r>
    <s v="PO-00591"/>
    <x v="3"/>
    <d v="2022-01-26T00:00:00"/>
    <d v="2022-02-03T00:00:00"/>
    <s v="Raw Materials"/>
    <x v="0"/>
    <n v="1419"/>
    <n v="50.14"/>
    <n v="43.46"/>
    <m/>
    <s v="Yes"/>
    <n v="61669.74"/>
  </r>
  <r>
    <s v="PO-00592"/>
    <x v="1"/>
    <d v="2022-02-17T00:00:00"/>
    <d v="2022-02-18T00:00:00"/>
    <s v="Raw Materials"/>
    <x v="3"/>
    <n v="790"/>
    <n v="26.8"/>
    <n v="25.62"/>
    <n v="115"/>
    <s v="Yes"/>
    <n v="20239.8"/>
  </r>
  <r>
    <s v="PO-00593"/>
    <x v="2"/>
    <d v="2022-09-08T00:00:00"/>
    <d v="2022-09-27T00:00:00"/>
    <s v="MRO"/>
    <x v="3"/>
    <n v="1547"/>
    <n v="61.12"/>
    <n v="53.43"/>
    <n v="77"/>
    <s v="Yes"/>
    <n v="82656.210000000006"/>
  </r>
  <r>
    <s v="PO-00594"/>
    <x v="1"/>
    <d v="2023-05-02T00:00:00"/>
    <d v="2023-05-20T00:00:00"/>
    <s v="Office Supplies"/>
    <x v="0"/>
    <n v="166"/>
    <n v="95.65"/>
    <n v="94.48"/>
    <n v="23"/>
    <s v="Yes"/>
    <n v="15683.68"/>
  </r>
  <r>
    <s v="PO-00595"/>
    <x v="0"/>
    <d v="2023-09-18T00:00:00"/>
    <d v="2023-09-21T00:00:00"/>
    <s v="Electronics"/>
    <x v="1"/>
    <n v="1903"/>
    <n v="83.49"/>
    <n v="82.33"/>
    <n v="43"/>
    <s v="Yes"/>
    <n v="156673.99"/>
  </r>
  <r>
    <s v="PO-00596"/>
    <x v="1"/>
    <d v="2022-03-16T00:00:00"/>
    <d v="2022-03-29T00:00:00"/>
    <s v="Office Supplies"/>
    <x v="2"/>
    <n v="840"/>
    <n v="83.42"/>
    <n v="80.349999999999994"/>
    <n v="153"/>
    <s v="Yes"/>
    <n v="67494"/>
  </r>
  <r>
    <s v="PO-00597"/>
    <x v="1"/>
    <d v="2023-04-12T00:00:00"/>
    <m/>
    <s v="MRO"/>
    <x v="1"/>
    <n v="1200"/>
    <n v="74.489999999999995"/>
    <n v="64.63"/>
    <n v="161"/>
    <s v="Yes"/>
    <n v="77556"/>
  </r>
  <r>
    <s v="PO-00598"/>
    <x v="2"/>
    <d v="2023-03-01T00:00:00"/>
    <d v="2023-03-18T00:00:00"/>
    <s v="Raw Materials"/>
    <x v="1"/>
    <n v="1466"/>
    <n v="77.37"/>
    <n v="70.349999999999994"/>
    <n v="72"/>
    <s v="Yes"/>
    <n v="103133.09999999999"/>
  </r>
  <r>
    <s v="PO-00599"/>
    <x v="0"/>
    <d v="2023-10-07T00:00:00"/>
    <d v="2023-10-21T00:00:00"/>
    <s v="Office Supplies"/>
    <x v="1"/>
    <n v="1981"/>
    <n v="95.5"/>
    <n v="94.39"/>
    <n v="49"/>
    <s v="Yes"/>
    <n v="186986.59"/>
  </r>
  <r>
    <s v="PO-00600"/>
    <x v="2"/>
    <d v="2023-08-13T00:00:00"/>
    <d v="2023-08-16T00:00:00"/>
    <s v="Packaging"/>
    <x v="1"/>
    <n v="1062"/>
    <n v="35.549999999999997"/>
    <n v="32.380000000000003"/>
    <m/>
    <s v="Yes"/>
    <n v="34387.560000000005"/>
  </r>
  <r>
    <s v="PO-00601"/>
    <x v="0"/>
    <d v="2022-07-19T00:00:00"/>
    <d v="2022-07-30T00:00:00"/>
    <s v="MRO"/>
    <x v="1"/>
    <n v="1714"/>
    <n v="55.67"/>
    <n v="55.09"/>
    <n v="42"/>
    <s v="Yes"/>
    <n v="94424.260000000009"/>
  </r>
  <r>
    <s v="PO-00602"/>
    <x v="0"/>
    <d v="2023-12-15T00:00:00"/>
    <d v="2023-12-30T00:00:00"/>
    <s v="Office Supplies"/>
    <x v="1"/>
    <n v="1131"/>
    <n v="33.35"/>
    <n v="31.28"/>
    <n v="23"/>
    <s v="Yes"/>
    <n v="35377.68"/>
  </r>
  <r>
    <s v="PO-00603"/>
    <x v="0"/>
    <d v="2023-01-29T00:00:00"/>
    <d v="2023-02-15T00:00:00"/>
    <s v="Office Supplies"/>
    <x v="1"/>
    <n v="683"/>
    <n v="104.82"/>
    <n v="101.34"/>
    <m/>
    <s v="Yes"/>
    <n v="69215.22"/>
  </r>
  <r>
    <s v="PO-00604"/>
    <x v="2"/>
    <d v="2023-05-22T00:00:00"/>
    <d v="2023-06-09T00:00:00"/>
    <s v="Packaging"/>
    <x v="2"/>
    <n v="562"/>
    <n v="102.56"/>
    <n v="90.88"/>
    <n v="38"/>
    <s v="Yes"/>
    <n v="51074.559999999998"/>
  </r>
  <r>
    <s v="PO-00605"/>
    <x v="0"/>
    <d v="2023-02-14T00:00:00"/>
    <d v="2023-02-20T00:00:00"/>
    <s v="Electronics"/>
    <x v="1"/>
    <n v="1824"/>
    <n v="14.43"/>
    <n v="14.11"/>
    <n v="36"/>
    <s v="Yes"/>
    <n v="25736.639999999999"/>
  </r>
  <r>
    <s v="PO-00606"/>
    <x v="4"/>
    <d v="2022-09-07T00:00:00"/>
    <d v="2022-09-12T00:00:00"/>
    <s v="Electronics"/>
    <x v="2"/>
    <n v="851"/>
    <n v="76.44"/>
    <n v="74.760000000000005"/>
    <n v="91"/>
    <s v="Yes"/>
    <n v="63620.76"/>
  </r>
  <r>
    <s v="PO-00607"/>
    <x v="4"/>
    <d v="2022-06-01T00:00:00"/>
    <d v="2022-06-03T00:00:00"/>
    <s v="Office Supplies"/>
    <x v="1"/>
    <n v="1169"/>
    <n v="95.6"/>
    <n v="82.16"/>
    <n v="103"/>
    <s v="Yes"/>
    <n v="96045.04"/>
  </r>
  <r>
    <s v="PO-00608"/>
    <x v="3"/>
    <d v="2023-11-03T00:00:00"/>
    <d v="2023-11-20T00:00:00"/>
    <s v="MRO"/>
    <x v="1"/>
    <n v="1711"/>
    <n v="29.14"/>
    <n v="26.35"/>
    <n v="48"/>
    <s v="Yes"/>
    <n v="45084.850000000006"/>
  </r>
  <r>
    <s v="PO-00609"/>
    <x v="4"/>
    <d v="2023-12-06T00:00:00"/>
    <d v="2023-12-12T00:00:00"/>
    <s v="Packaging"/>
    <x v="3"/>
    <n v="1191"/>
    <n v="68.14"/>
    <n v="61.71"/>
    <n v="112"/>
    <s v="Yes"/>
    <n v="73496.61"/>
  </r>
  <r>
    <s v="PO-00610"/>
    <x v="3"/>
    <d v="2022-01-06T00:00:00"/>
    <d v="2022-01-14T00:00:00"/>
    <s v="Electronics"/>
    <x v="1"/>
    <n v="609"/>
    <n v="92.39"/>
    <n v="82.75"/>
    <n v="29"/>
    <s v="Yes"/>
    <n v="50394.75"/>
  </r>
  <r>
    <s v="PO-00611"/>
    <x v="4"/>
    <d v="2022-04-20T00:00:00"/>
    <d v="2022-05-07T00:00:00"/>
    <s v="Office Supplies"/>
    <x v="1"/>
    <n v="1674"/>
    <n v="13.25"/>
    <n v="11.77"/>
    <n v="181"/>
    <s v="Yes"/>
    <n v="19702.98"/>
  </r>
  <r>
    <s v="PO-00612"/>
    <x v="2"/>
    <d v="2023-03-12T00:00:00"/>
    <d v="2023-03-15T00:00:00"/>
    <s v="MRO"/>
    <x v="1"/>
    <n v="537"/>
    <n v="77.86"/>
    <n v="71.180000000000007"/>
    <n v="20"/>
    <s v="Yes"/>
    <n v="38223.660000000003"/>
  </r>
  <r>
    <s v="PO-00613"/>
    <x v="3"/>
    <d v="2022-08-13T00:00:00"/>
    <d v="2022-08-31T00:00:00"/>
    <s v="Electronics"/>
    <x v="1"/>
    <n v="1310"/>
    <n v="38.049999999999997"/>
    <n v="37"/>
    <n v="45"/>
    <s v="Yes"/>
    <n v="48470"/>
  </r>
  <r>
    <s v="PO-00614"/>
    <x v="1"/>
    <d v="2022-06-30T00:00:00"/>
    <d v="2022-07-10T00:00:00"/>
    <s v="Raw Materials"/>
    <x v="1"/>
    <n v="1958"/>
    <n v="95.53"/>
    <n v="91.72"/>
    <n v="308"/>
    <s v="Yes"/>
    <n v="179587.76"/>
  </r>
  <r>
    <s v="PO-00615"/>
    <x v="1"/>
    <d v="2023-12-14T00:00:00"/>
    <d v="2023-12-17T00:00:00"/>
    <s v="Office Supplies"/>
    <x v="1"/>
    <n v="946"/>
    <n v="108.6"/>
    <n v="101.78"/>
    <n v="146"/>
    <s v="Yes"/>
    <n v="96283.88"/>
  </r>
  <r>
    <s v="PO-00616"/>
    <x v="4"/>
    <d v="2023-06-15T00:00:00"/>
    <d v="2023-06-21T00:00:00"/>
    <s v="Packaging"/>
    <x v="2"/>
    <n v="1345"/>
    <n v="103.06"/>
    <n v="95.14"/>
    <m/>
    <s v="Yes"/>
    <n v="127963.3"/>
  </r>
  <r>
    <s v="PO-00617"/>
    <x v="1"/>
    <d v="2023-04-21T00:00:00"/>
    <d v="2023-05-10T00:00:00"/>
    <s v="MRO"/>
    <x v="1"/>
    <n v="1262"/>
    <n v="56.63"/>
    <n v="51.46"/>
    <m/>
    <s v="No"/>
    <n v="64942.520000000004"/>
  </r>
  <r>
    <s v="PO-00618"/>
    <x v="4"/>
    <d v="2022-02-21T00:00:00"/>
    <d v="2022-03-13T00:00:00"/>
    <s v="Office Supplies"/>
    <x v="3"/>
    <n v="753"/>
    <n v="88.02"/>
    <n v="79.92"/>
    <n v="75"/>
    <s v="Yes"/>
    <n v="60179.76"/>
  </r>
  <r>
    <s v="PO-00619"/>
    <x v="4"/>
    <d v="2023-07-25T00:00:00"/>
    <d v="2023-08-14T00:00:00"/>
    <s v="Electronics"/>
    <x v="1"/>
    <n v="1520"/>
    <n v="93.75"/>
    <n v="81.63"/>
    <n v="149"/>
    <s v="Yes"/>
    <n v="124077.59999999999"/>
  </r>
  <r>
    <s v="PO-00620"/>
    <x v="1"/>
    <d v="2022-09-13T00:00:00"/>
    <d v="2022-10-02T00:00:00"/>
    <s v="Office Supplies"/>
    <x v="1"/>
    <n v="630"/>
    <n v="40.270000000000003"/>
    <n v="37.54"/>
    <n v="76"/>
    <s v="Yes"/>
    <n v="23650.2"/>
  </r>
  <r>
    <s v="PO-00621"/>
    <x v="1"/>
    <d v="2022-05-05T00:00:00"/>
    <d v="2022-05-06T00:00:00"/>
    <s v="Office Supplies"/>
    <x v="1"/>
    <n v="839"/>
    <n v="86.29"/>
    <n v="82.51"/>
    <n v="110"/>
    <s v="Yes"/>
    <n v="69225.89"/>
  </r>
  <r>
    <s v="PO-00622"/>
    <x v="0"/>
    <d v="2023-04-13T00:00:00"/>
    <d v="2023-05-02T00:00:00"/>
    <s v="Electronics"/>
    <x v="1"/>
    <n v="910"/>
    <n v="14.33"/>
    <n v="14.07"/>
    <n v="27"/>
    <s v="Yes"/>
    <n v="12803.7"/>
  </r>
  <r>
    <s v="PO-00623"/>
    <x v="3"/>
    <d v="2022-05-17T00:00:00"/>
    <d v="2022-05-24T00:00:00"/>
    <s v="Raw Materials"/>
    <x v="1"/>
    <n v="296"/>
    <n v="64.94"/>
    <n v="63.61"/>
    <m/>
    <s v="Yes"/>
    <n v="18828.560000000001"/>
  </r>
  <r>
    <s v="PO-00624"/>
    <x v="4"/>
    <d v="2023-04-21T00:00:00"/>
    <d v="2023-05-05T00:00:00"/>
    <s v="MRO"/>
    <x v="1"/>
    <n v="1149"/>
    <n v="33"/>
    <n v="30.65"/>
    <n v="141"/>
    <s v="Yes"/>
    <n v="35216.85"/>
  </r>
  <r>
    <s v="PO-00625"/>
    <x v="1"/>
    <d v="2023-11-15T00:00:00"/>
    <d v="2023-11-16T00:00:00"/>
    <s v="Electronics"/>
    <x v="1"/>
    <n v="203"/>
    <n v="23.14"/>
    <n v="20"/>
    <m/>
    <s v="No"/>
    <n v="4060"/>
  </r>
  <r>
    <s v="PO-00626"/>
    <x v="3"/>
    <d v="2023-06-28T00:00:00"/>
    <d v="2023-07-16T00:00:00"/>
    <s v="Office Supplies"/>
    <x v="1"/>
    <n v="1729"/>
    <n v="18.36"/>
    <n v="16.34"/>
    <n v="47"/>
    <s v="Yes"/>
    <n v="28251.86"/>
  </r>
  <r>
    <s v="PO-00627"/>
    <x v="1"/>
    <d v="2023-07-27T00:00:00"/>
    <d v="2023-08-06T00:00:00"/>
    <s v="Office Supplies"/>
    <x v="1"/>
    <n v="1508"/>
    <n v="79.209999999999994"/>
    <n v="73.27"/>
    <n v="226"/>
    <s v="Yes"/>
    <n v="110491.15999999999"/>
  </r>
  <r>
    <s v="PO-00628"/>
    <x v="1"/>
    <d v="2023-09-02T00:00:00"/>
    <d v="2023-09-15T00:00:00"/>
    <s v="Packaging"/>
    <x v="2"/>
    <n v="1046"/>
    <n v="44.65"/>
    <n v="40.1"/>
    <n v="165"/>
    <s v="No"/>
    <n v="41944.6"/>
  </r>
  <r>
    <s v="PO-00629"/>
    <x v="0"/>
    <d v="2022-11-21T00:00:00"/>
    <d v="2022-11-24T00:00:00"/>
    <s v="Office Supplies"/>
    <x v="1"/>
    <n v="1159"/>
    <n v="78.989999999999995"/>
    <n v="71.69"/>
    <n v="14"/>
    <s v="Yes"/>
    <n v="83088.709999999992"/>
  </r>
  <r>
    <s v="PO-00630"/>
    <x v="4"/>
    <d v="2023-03-30T00:00:00"/>
    <d v="2023-04-05T00:00:00"/>
    <s v="Electronics"/>
    <x v="1"/>
    <n v="746"/>
    <n v="16.989999999999998"/>
    <n v="15.35"/>
    <n v="69"/>
    <s v="No"/>
    <n v="11451.1"/>
  </r>
  <r>
    <s v="PO-00631"/>
    <x v="4"/>
    <d v="2023-09-20T00:00:00"/>
    <d v="2023-10-06T00:00:00"/>
    <s v="Packaging"/>
    <x v="1"/>
    <n v="1358"/>
    <n v="42.21"/>
    <n v="38.75"/>
    <n v="128"/>
    <s v="Yes"/>
    <n v="52622.5"/>
  </r>
  <r>
    <s v="PO-00632"/>
    <x v="2"/>
    <d v="2023-06-01T00:00:00"/>
    <d v="2023-06-12T00:00:00"/>
    <s v="Office Supplies"/>
    <x v="1"/>
    <n v="1293"/>
    <n v="63.53"/>
    <n v="59.42"/>
    <n v="79"/>
    <s v="Yes"/>
    <n v="76830.06"/>
  </r>
  <r>
    <s v="PO-00633"/>
    <x v="0"/>
    <d v="2023-03-13T00:00:00"/>
    <d v="2023-03-24T00:00:00"/>
    <s v="Electronics"/>
    <x v="1"/>
    <n v="1142"/>
    <n v="86.85"/>
    <n v="74.28"/>
    <n v="30"/>
    <s v="Yes"/>
    <n v="84827.76"/>
  </r>
  <r>
    <s v="PO-00634"/>
    <x v="3"/>
    <d v="2023-07-16T00:00:00"/>
    <d v="2023-07-27T00:00:00"/>
    <s v="MRO"/>
    <x v="1"/>
    <n v="1120"/>
    <n v="42.17"/>
    <n v="37.47"/>
    <n v="33"/>
    <s v="Yes"/>
    <n v="41966.400000000001"/>
  </r>
  <r>
    <s v="PO-00635"/>
    <x v="0"/>
    <d v="2023-04-02T00:00:00"/>
    <d v="2023-04-14T00:00:00"/>
    <s v="MRO"/>
    <x v="1"/>
    <n v="1058"/>
    <n v="71.3"/>
    <n v="62.04"/>
    <m/>
    <s v="Yes"/>
    <n v="65638.319999999992"/>
  </r>
  <r>
    <s v="PO-00636"/>
    <x v="3"/>
    <d v="2022-06-12T00:00:00"/>
    <m/>
    <s v="Office Supplies"/>
    <x v="1"/>
    <n v="143"/>
    <n v="91.98"/>
    <n v="86.02"/>
    <n v="5"/>
    <s v="Yes"/>
    <n v="12300.859999999999"/>
  </r>
  <r>
    <s v="PO-00637"/>
    <x v="4"/>
    <d v="2023-05-02T00:00:00"/>
    <d v="2023-05-14T00:00:00"/>
    <s v="MRO"/>
    <x v="1"/>
    <n v="1823"/>
    <n v="70.66"/>
    <n v="66.92"/>
    <n v="202"/>
    <s v="Yes"/>
    <n v="121995.16"/>
  </r>
  <r>
    <s v="PO-00638"/>
    <x v="2"/>
    <d v="2023-04-06T00:00:00"/>
    <d v="2023-04-10T00:00:00"/>
    <s v="Office Supplies"/>
    <x v="1"/>
    <n v="1007"/>
    <n v="33.29"/>
    <n v="28.48"/>
    <n v="49"/>
    <s v="Yes"/>
    <n v="28679.360000000001"/>
  </r>
  <r>
    <s v="PO-00639"/>
    <x v="2"/>
    <d v="2022-09-23T00:00:00"/>
    <d v="2022-10-08T00:00:00"/>
    <s v="Packaging"/>
    <x v="1"/>
    <n v="1061"/>
    <n v="12.68"/>
    <n v="12.36"/>
    <n v="56"/>
    <s v="No"/>
    <n v="13113.96"/>
  </r>
  <r>
    <s v="PO-00640"/>
    <x v="4"/>
    <d v="2022-09-11T00:00:00"/>
    <d v="2022-09-26T00:00:00"/>
    <s v="MRO"/>
    <x v="3"/>
    <n v="502"/>
    <n v="91.84"/>
    <n v="82.33"/>
    <m/>
    <s v="Yes"/>
    <n v="41329.659999999996"/>
  </r>
  <r>
    <s v="PO-00641"/>
    <x v="1"/>
    <d v="2023-10-15T00:00:00"/>
    <d v="2023-10-19T00:00:00"/>
    <s v="Packaging"/>
    <x v="1"/>
    <n v="1277"/>
    <n v="13.17"/>
    <n v="11.63"/>
    <n v="199"/>
    <s v="No"/>
    <n v="14851.51"/>
  </r>
  <r>
    <s v="PO-00642"/>
    <x v="0"/>
    <d v="2022-10-11T00:00:00"/>
    <d v="2022-10-24T00:00:00"/>
    <s v="Packaging"/>
    <x v="1"/>
    <n v="961"/>
    <n v="92.72"/>
    <n v="88.49"/>
    <n v="22"/>
    <s v="Yes"/>
    <n v="85038.89"/>
  </r>
  <r>
    <s v="PO-00643"/>
    <x v="2"/>
    <d v="2023-06-18T00:00:00"/>
    <d v="2023-07-02T00:00:00"/>
    <s v="Packaging"/>
    <x v="1"/>
    <n v="267"/>
    <n v="62.5"/>
    <n v="61.18"/>
    <n v="17"/>
    <s v="Yes"/>
    <n v="16335.06"/>
  </r>
  <r>
    <s v="PO-00644"/>
    <x v="1"/>
    <d v="2023-05-12T00:00:00"/>
    <d v="2023-05-18T00:00:00"/>
    <s v="Raw Materials"/>
    <x v="0"/>
    <n v="523"/>
    <n v="102.08"/>
    <n v="99.59"/>
    <m/>
    <s v="Yes"/>
    <n v="52085.57"/>
  </r>
  <r>
    <s v="PO-00645"/>
    <x v="3"/>
    <d v="2023-10-04T00:00:00"/>
    <d v="2023-10-23T00:00:00"/>
    <s v="Electronics"/>
    <x v="3"/>
    <n v="481"/>
    <n v="90.49"/>
    <n v="77.17"/>
    <m/>
    <s v="Yes"/>
    <n v="37118.770000000004"/>
  </r>
  <r>
    <s v="PO-00646"/>
    <x v="2"/>
    <d v="2022-09-02T00:00:00"/>
    <d v="2022-09-09T00:00:00"/>
    <s v="Office Supplies"/>
    <x v="1"/>
    <n v="390"/>
    <n v="103.81"/>
    <n v="100.12"/>
    <n v="20"/>
    <s v="Yes"/>
    <n v="39046.800000000003"/>
  </r>
  <r>
    <s v="PO-00647"/>
    <x v="3"/>
    <d v="2022-10-09T00:00:00"/>
    <d v="2022-10-25T00:00:00"/>
    <s v="Packaging"/>
    <x v="1"/>
    <n v="600"/>
    <n v="43.43"/>
    <n v="38.76"/>
    <n v="22"/>
    <s v="Yes"/>
    <n v="23256"/>
  </r>
  <r>
    <s v="PO-00648"/>
    <x v="1"/>
    <d v="2023-03-27T00:00:00"/>
    <m/>
    <s v="Office Supplies"/>
    <x v="1"/>
    <n v="1685"/>
    <n v="84.58"/>
    <n v="75.209999999999994"/>
    <n v="253"/>
    <s v="No"/>
    <n v="126728.84999999999"/>
  </r>
  <r>
    <s v="PO-00649"/>
    <x v="3"/>
    <d v="2022-03-21T00:00:00"/>
    <d v="2022-03-31T00:00:00"/>
    <s v="Packaging"/>
    <x v="0"/>
    <n v="1362"/>
    <n v="46.64"/>
    <n v="42.85"/>
    <n v="33"/>
    <s v="Yes"/>
    <n v="58361.700000000004"/>
  </r>
  <r>
    <s v="PO-00650"/>
    <x v="1"/>
    <d v="2024-01-01T00:00:00"/>
    <d v="2024-01-04T00:00:00"/>
    <s v="Electronics"/>
    <x v="3"/>
    <n v="1327"/>
    <n v="59.57"/>
    <n v="56.44"/>
    <n v="169"/>
    <s v="Yes"/>
    <n v="74895.87999999999"/>
  </r>
  <r>
    <s v="PO-00651"/>
    <x v="3"/>
    <d v="2022-10-20T00:00:00"/>
    <m/>
    <s v="MRO"/>
    <x v="1"/>
    <n v="1807"/>
    <n v="69.47"/>
    <n v="60"/>
    <n v="50"/>
    <s v="Yes"/>
    <n v="108420"/>
  </r>
  <r>
    <s v="PO-00652"/>
    <x v="0"/>
    <d v="2022-08-29T00:00:00"/>
    <d v="2022-09-06T00:00:00"/>
    <s v="Office Supplies"/>
    <x v="3"/>
    <n v="406"/>
    <n v="91.73"/>
    <n v="89.13"/>
    <m/>
    <s v="Yes"/>
    <n v="36186.78"/>
  </r>
  <r>
    <s v="PO-00653"/>
    <x v="2"/>
    <d v="2022-10-06T00:00:00"/>
    <d v="2022-10-18T00:00:00"/>
    <s v="Raw Materials"/>
    <x v="2"/>
    <n v="72"/>
    <n v="103"/>
    <n v="89.49"/>
    <n v="1"/>
    <s v="No"/>
    <n v="6443.28"/>
  </r>
  <r>
    <s v="PO-00654"/>
    <x v="2"/>
    <d v="2022-12-10T00:00:00"/>
    <d v="2022-12-20T00:00:00"/>
    <s v="Office Supplies"/>
    <x v="1"/>
    <n v="1835"/>
    <n v="83.5"/>
    <n v="82.36"/>
    <n v="85"/>
    <s v="No"/>
    <n v="151130.6"/>
  </r>
  <r>
    <s v="PO-00655"/>
    <x v="1"/>
    <d v="2022-11-24T00:00:00"/>
    <d v="2022-12-10T00:00:00"/>
    <s v="Electronics"/>
    <x v="3"/>
    <n v="571"/>
    <n v="49.98"/>
    <n v="45.58"/>
    <m/>
    <s v="No"/>
    <n v="26026.18"/>
  </r>
  <r>
    <s v="PO-00656"/>
    <x v="3"/>
    <d v="2023-07-08T00:00:00"/>
    <d v="2023-07-09T00:00:00"/>
    <s v="Packaging"/>
    <x v="1"/>
    <n v="1831"/>
    <n v="52.24"/>
    <n v="50.44"/>
    <n v="60"/>
    <s v="Yes"/>
    <n v="92355.64"/>
  </r>
  <r>
    <s v="PO-00657"/>
    <x v="4"/>
    <d v="2022-03-24T00:00:00"/>
    <d v="2022-04-07T00:00:00"/>
    <s v="Office Supplies"/>
    <x v="3"/>
    <n v="1910"/>
    <n v="77.150000000000006"/>
    <n v="68.489999999999995"/>
    <n v="170"/>
    <s v="Yes"/>
    <n v="130815.9"/>
  </r>
  <r>
    <s v="PO-00658"/>
    <x v="2"/>
    <d v="2022-05-22T00:00:00"/>
    <d v="2022-05-31T00:00:00"/>
    <s v="Electronics"/>
    <x v="2"/>
    <n v="1173"/>
    <n v="32.119999999999997"/>
    <n v="29.18"/>
    <m/>
    <s v="Yes"/>
    <n v="34228.14"/>
  </r>
  <r>
    <s v="PO-00659"/>
    <x v="3"/>
    <d v="2022-06-04T00:00:00"/>
    <d v="2022-06-17T00:00:00"/>
    <s v="Packaging"/>
    <x v="2"/>
    <n v="851"/>
    <n v="20.440000000000001"/>
    <n v="19.22"/>
    <n v="22"/>
    <s v="Yes"/>
    <n v="16356.22"/>
  </r>
  <r>
    <s v="PO-00660"/>
    <x v="3"/>
    <d v="2022-08-25T00:00:00"/>
    <d v="2022-09-07T00:00:00"/>
    <s v="MRO"/>
    <x v="0"/>
    <n v="1253"/>
    <n v="43.38"/>
    <n v="38.01"/>
    <n v="34"/>
    <s v="Yes"/>
    <n v="47626.53"/>
  </r>
  <r>
    <s v="PO-00661"/>
    <x v="0"/>
    <d v="2023-01-28T00:00:00"/>
    <d v="2023-02-15T00:00:00"/>
    <s v="Electronics"/>
    <x v="1"/>
    <n v="1296"/>
    <n v="38"/>
    <n v="33.42"/>
    <n v="33"/>
    <s v="Yes"/>
    <n v="43312.32"/>
  </r>
  <r>
    <s v="PO-00662"/>
    <x v="4"/>
    <d v="2023-12-12T00:00:00"/>
    <d v="2023-12-30T00:00:00"/>
    <s v="Raw Materials"/>
    <x v="1"/>
    <n v="1979"/>
    <n v="40.880000000000003"/>
    <n v="39.46"/>
    <n v="221"/>
    <s v="Yes"/>
    <n v="78091.34"/>
  </r>
  <r>
    <s v="PO-00663"/>
    <x v="2"/>
    <d v="2022-06-06T00:00:00"/>
    <d v="2022-06-19T00:00:00"/>
    <s v="Office Supplies"/>
    <x v="1"/>
    <n v="811"/>
    <n v="31.8"/>
    <n v="30.33"/>
    <n v="58"/>
    <s v="Yes"/>
    <n v="24597.629999999997"/>
  </r>
  <r>
    <s v="PO-00664"/>
    <x v="0"/>
    <d v="2023-12-25T00:00:00"/>
    <d v="2024-01-12T00:00:00"/>
    <s v="Electronics"/>
    <x v="1"/>
    <n v="1732"/>
    <n v="15.37"/>
    <n v="14.7"/>
    <n v="38"/>
    <s v="Yes"/>
    <n v="25460.399999999998"/>
  </r>
  <r>
    <s v="PO-00665"/>
    <x v="4"/>
    <d v="2022-08-08T00:00:00"/>
    <d v="2022-08-28T00:00:00"/>
    <s v="Packaging"/>
    <x v="1"/>
    <n v="491"/>
    <n v="12.01"/>
    <n v="11.67"/>
    <n v="47"/>
    <s v="Yes"/>
    <n v="5729.97"/>
  </r>
  <r>
    <s v="PO-00666"/>
    <x v="2"/>
    <d v="2022-03-07T00:00:00"/>
    <d v="2022-03-11T00:00:00"/>
    <s v="Packaging"/>
    <x v="0"/>
    <n v="1681"/>
    <n v="99.88"/>
    <n v="96.38"/>
    <n v="90"/>
    <s v="Yes"/>
    <n v="162014.78"/>
  </r>
  <r>
    <s v="PO-00667"/>
    <x v="0"/>
    <d v="2023-03-01T00:00:00"/>
    <d v="2023-03-05T00:00:00"/>
    <s v="Raw Materials"/>
    <x v="2"/>
    <n v="818"/>
    <n v="51.89"/>
    <n v="47.85"/>
    <n v="12"/>
    <s v="Yes"/>
    <n v="39141.300000000003"/>
  </r>
  <r>
    <s v="PO-00668"/>
    <x v="4"/>
    <d v="2023-02-22T00:00:00"/>
    <d v="2023-03-05T00:00:00"/>
    <s v="Office Supplies"/>
    <x v="1"/>
    <n v="1065"/>
    <n v="47.49"/>
    <n v="41.42"/>
    <n v="113"/>
    <s v="Yes"/>
    <n v="44112.3"/>
  </r>
  <r>
    <s v="PO-00669"/>
    <x v="2"/>
    <d v="2022-12-05T00:00:00"/>
    <d v="2022-12-17T00:00:00"/>
    <s v="Packaging"/>
    <x v="1"/>
    <n v="1398"/>
    <n v="75.08"/>
    <n v="67.09"/>
    <n v="57"/>
    <s v="Yes"/>
    <n v="93791.82"/>
  </r>
  <r>
    <s v="PO-00670"/>
    <x v="4"/>
    <d v="2023-07-10T00:00:00"/>
    <d v="2023-07-17T00:00:00"/>
    <s v="Packaging"/>
    <x v="1"/>
    <n v="565"/>
    <n v="32.31"/>
    <n v="29.76"/>
    <n v="60"/>
    <s v="Yes"/>
    <n v="16814.400000000001"/>
  </r>
  <r>
    <s v="PO-00671"/>
    <x v="3"/>
    <d v="2023-04-23T00:00:00"/>
    <d v="2023-05-06T00:00:00"/>
    <s v="Packaging"/>
    <x v="3"/>
    <n v="1089"/>
    <n v="102.66"/>
    <n v="89.21"/>
    <n v="33"/>
    <s v="Yes"/>
    <n v="97149.689999999988"/>
  </r>
  <r>
    <s v="PO-00672"/>
    <x v="1"/>
    <d v="2023-03-02T00:00:00"/>
    <d v="2023-03-04T00:00:00"/>
    <s v="Electronics"/>
    <x v="1"/>
    <n v="841"/>
    <n v="86.43"/>
    <n v="83.77"/>
    <n v="125"/>
    <s v="No"/>
    <n v="70450.569999999992"/>
  </r>
  <r>
    <s v="PO-00673"/>
    <x v="1"/>
    <d v="2022-03-05T00:00:00"/>
    <d v="2022-03-16T00:00:00"/>
    <s v="Electronics"/>
    <x v="1"/>
    <n v="385"/>
    <n v="18.23"/>
    <n v="17.739999999999998"/>
    <m/>
    <s v="Yes"/>
    <n v="6829.9"/>
  </r>
  <r>
    <s v="PO-00674"/>
    <x v="3"/>
    <d v="2022-07-31T00:00:00"/>
    <d v="2022-08-17T00:00:00"/>
    <s v="Office Supplies"/>
    <x v="1"/>
    <n v="1832"/>
    <n v="49.01"/>
    <n v="41.86"/>
    <n v="52"/>
    <s v="Yes"/>
    <n v="76687.520000000004"/>
  </r>
  <r>
    <s v="PO-00675"/>
    <x v="4"/>
    <d v="2023-03-07T00:00:00"/>
    <d v="2023-03-27T00:00:00"/>
    <s v="Raw Materials"/>
    <x v="1"/>
    <n v="307"/>
    <n v="95.36"/>
    <n v="83.63"/>
    <n v="29"/>
    <s v="Yes"/>
    <n v="25674.41"/>
  </r>
  <r>
    <s v="PO-00676"/>
    <x v="3"/>
    <d v="2023-02-03T00:00:00"/>
    <d v="2023-02-08T00:00:00"/>
    <s v="Office Supplies"/>
    <x v="1"/>
    <n v="546"/>
    <n v="101.2"/>
    <n v="97.82"/>
    <n v="21"/>
    <s v="Yes"/>
    <n v="53409.719999999994"/>
  </r>
  <r>
    <s v="PO-00677"/>
    <x v="1"/>
    <d v="2023-08-22T00:00:00"/>
    <d v="2023-09-11T00:00:00"/>
    <s v="Raw Materials"/>
    <x v="1"/>
    <n v="945"/>
    <n v="57.01"/>
    <n v="55.14"/>
    <n v="147"/>
    <s v="No"/>
    <n v="52107.3"/>
  </r>
  <r>
    <s v="PO-00678"/>
    <x v="1"/>
    <d v="2023-12-14T00:00:00"/>
    <d v="2023-12-27T00:00:00"/>
    <s v="MRO"/>
    <x v="3"/>
    <n v="209"/>
    <n v="72.709999999999994"/>
    <n v="64.34"/>
    <n v="39"/>
    <s v="Yes"/>
    <n v="13447.060000000001"/>
  </r>
  <r>
    <s v="PO-00679"/>
    <x v="4"/>
    <d v="2022-01-21T00:00:00"/>
    <m/>
    <s v="Packaging"/>
    <x v="1"/>
    <n v="1548"/>
    <n v="25.03"/>
    <n v="22.87"/>
    <m/>
    <s v="Yes"/>
    <n v="35402.76"/>
  </r>
  <r>
    <s v="PO-00680"/>
    <x v="1"/>
    <d v="2023-08-13T00:00:00"/>
    <d v="2023-08-23T00:00:00"/>
    <s v="Raw Materials"/>
    <x v="1"/>
    <n v="901"/>
    <n v="108.63"/>
    <n v="106.3"/>
    <n v="141"/>
    <s v="Yes"/>
    <n v="95776.3"/>
  </r>
  <r>
    <s v="PO-00681"/>
    <x v="3"/>
    <d v="2023-01-25T00:00:00"/>
    <d v="2023-02-11T00:00:00"/>
    <s v="Packaging"/>
    <x v="1"/>
    <n v="1737"/>
    <n v="32.700000000000003"/>
    <n v="31.02"/>
    <n v="48"/>
    <s v="Yes"/>
    <n v="53881.74"/>
  </r>
  <r>
    <s v="PO-00682"/>
    <x v="4"/>
    <d v="2023-05-04T00:00:00"/>
    <d v="2023-05-22T00:00:00"/>
    <s v="Raw Materials"/>
    <x v="1"/>
    <n v="1981"/>
    <n v="102.43"/>
    <n v="90.99"/>
    <n v="204"/>
    <s v="Yes"/>
    <n v="180251.19"/>
  </r>
  <r>
    <s v="PO-00683"/>
    <x v="3"/>
    <d v="2022-01-07T00:00:00"/>
    <d v="2022-01-26T00:00:00"/>
    <s v="MRO"/>
    <x v="3"/>
    <n v="739"/>
    <n v="68.47"/>
    <n v="66.09"/>
    <n v="19"/>
    <s v="Yes"/>
    <n v="48840.51"/>
  </r>
  <r>
    <s v="PO-00684"/>
    <x v="4"/>
    <d v="2022-12-27T00:00:00"/>
    <d v="2022-12-28T00:00:00"/>
    <s v="Raw Materials"/>
    <x v="1"/>
    <n v="1748"/>
    <n v="68.25"/>
    <n v="62.84"/>
    <n v="171"/>
    <s v="Yes"/>
    <n v="109844.32"/>
  </r>
  <r>
    <s v="PO-00685"/>
    <x v="1"/>
    <d v="2022-11-02T00:00:00"/>
    <d v="2022-11-06T00:00:00"/>
    <s v="Office Supplies"/>
    <x v="0"/>
    <n v="429"/>
    <n v="58.95"/>
    <n v="55.35"/>
    <n v="59"/>
    <s v="No"/>
    <n v="23745.15"/>
  </r>
  <r>
    <s v="PO-00686"/>
    <x v="2"/>
    <d v="2023-02-04T00:00:00"/>
    <m/>
    <s v="Electronics"/>
    <x v="1"/>
    <n v="1618"/>
    <n v="32.76"/>
    <n v="28.41"/>
    <n v="62"/>
    <s v="Yes"/>
    <n v="45967.38"/>
  </r>
  <r>
    <s v="PO-00687"/>
    <x v="4"/>
    <d v="2023-03-06T00:00:00"/>
    <d v="2023-03-07T00:00:00"/>
    <s v="Packaging"/>
    <x v="1"/>
    <n v="1006"/>
    <n v="27.7"/>
    <n v="23.66"/>
    <n v="101"/>
    <s v="No"/>
    <n v="23801.96"/>
  </r>
  <r>
    <s v="PO-00688"/>
    <x v="4"/>
    <d v="2023-07-06T00:00:00"/>
    <d v="2023-07-15T00:00:00"/>
    <s v="Electronics"/>
    <x v="2"/>
    <n v="740"/>
    <n v="32.53"/>
    <n v="29.35"/>
    <n v="84"/>
    <s v="Yes"/>
    <n v="21719"/>
  </r>
  <r>
    <s v="PO-00689"/>
    <x v="2"/>
    <d v="2023-07-14T00:00:00"/>
    <m/>
    <s v="Raw Materials"/>
    <x v="1"/>
    <n v="1500"/>
    <n v="29.19"/>
    <n v="27.24"/>
    <n v="72"/>
    <s v="Yes"/>
    <n v="40860"/>
  </r>
  <r>
    <s v="PO-00690"/>
    <x v="1"/>
    <d v="2023-09-10T00:00:00"/>
    <d v="2023-09-29T00:00:00"/>
    <s v="Office Supplies"/>
    <x v="0"/>
    <n v="1686"/>
    <n v="88.18"/>
    <n v="77.150000000000006"/>
    <m/>
    <s v="Yes"/>
    <n v="130074.90000000001"/>
  </r>
  <r>
    <s v="PO-00691"/>
    <x v="3"/>
    <d v="2022-08-14T00:00:00"/>
    <d v="2022-08-16T00:00:00"/>
    <s v="Raw Materials"/>
    <x v="0"/>
    <n v="1341"/>
    <n v="42.96"/>
    <n v="41.75"/>
    <n v="39"/>
    <s v="Yes"/>
    <n v="55986.75"/>
  </r>
  <r>
    <s v="PO-00692"/>
    <x v="0"/>
    <d v="2023-05-15T00:00:00"/>
    <d v="2023-05-21T00:00:00"/>
    <s v="MRO"/>
    <x v="0"/>
    <n v="1908"/>
    <n v="16.420000000000002"/>
    <n v="15.31"/>
    <n v="36"/>
    <s v="Yes"/>
    <n v="29211.48"/>
  </r>
  <r>
    <s v="PO-00693"/>
    <x v="2"/>
    <d v="2022-08-13T00:00:00"/>
    <d v="2022-09-02T00:00:00"/>
    <s v="MRO"/>
    <x v="2"/>
    <n v="1650"/>
    <n v="100.62"/>
    <n v="90.45"/>
    <n v="85"/>
    <s v="Yes"/>
    <n v="149242.5"/>
  </r>
  <r>
    <s v="PO-00694"/>
    <x v="0"/>
    <d v="2022-10-07T00:00:00"/>
    <d v="2022-10-20T00:00:00"/>
    <s v="MRO"/>
    <x v="1"/>
    <n v="1490"/>
    <n v="93.57"/>
    <n v="81.680000000000007"/>
    <n v="29"/>
    <s v="Yes"/>
    <n v="121703.20000000001"/>
  </r>
  <r>
    <s v="PO-00695"/>
    <x v="1"/>
    <d v="2023-03-23T00:00:00"/>
    <d v="2023-03-31T00:00:00"/>
    <s v="Raw Materials"/>
    <x v="1"/>
    <n v="1241"/>
    <n v="100.04"/>
    <n v="97.56"/>
    <n v="187"/>
    <s v="Yes"/>
    <n v="121071.96"/>
  </r>
  <r>
    <s v="PO-00696"/>
    <x v="4"/>
    <d v="2023-05-13T00:00:00"/>
    <d v="2023-05-17T00:00:00"/>
    <s v="MRO"/>
    <x v="1"/>
    <n v="1915"/>
    <n v="107.51"/>
    <n v="102.66"/>
    <n v="184"/>
    <s v="Yes"/>
    <n v="196593.9"/>
  </r>
  <r>
    <s v="PO-00697"/>
    <x v="4"/>
    <d v="2022-01-30T00:00:00"/>
    <d v="2022-02-14T00:00:00"/>
    <s v="Raw Materials"/>
    <x v="1"/>
    <n v="1116"/>
    <n v="25.65"/>
    <n v="24.28"/>
    <n v="121"/>
    <s v="Yes"/>
    <n v="27096.48"/>
  </r>
  <r>
    <s v="PO-00698"/>
    <x v="1"/>
    <d v="2023-02-03T00:00:00"/>
    <d v="2023-02-08T00:00:00"/>
    <s v="Raw Materials"/>
    <x v="1"/>
    <n v="1629"/>
    <n v="48.63"/>
    <n v="43.28"/>
    <n v="260"/>
    <s v="Yes"/>
    <n v="70503.12"/>
  </r>
  <r>
    <s v="PO-00699"/>
    <x v="3"/>
    <d v="2022-12-11T00:00:00"/>
    <d v="2022-12-18T00:00:00"/>
    <s v="Office Supplies"/>
    <x v="1"/>
    <n v="334"/>
    <n v="82.54"/>
    <n v="74.63"/>
    <m/>
    <s v="Yes"/>
    <n v="24926.42"/>
  </r>
  <r>
    <s v="PO-00700"/>
    <x v="3"/>
    <d v="2023-11-16T00:00:00"/>
    <d v="2023-12-06T00:00:00"/>
    <s v="Packaging"/>
    <x v="1"/>
    <n v="446"/>
    <n v="80.63"/>
    <n v="70.37"/>
    <m/>
    <s v="Yes"/>
    <n v="31385.02"/>
  </r>
  <r>
    <s v="PO-00701"/>
    <x v="1"/>
    <d v="2023-11-27T00:00:00"/>
    <m/>
    <s v="Electronics"/>
    <x v="1"/>
    <n v="61"/>
    <n v="26.47"/>
    <n v="24.62"/>
    <n v="6"/>
    <s v="Yes"/>
    <n v="1501.8200000000002"/>
  </r>
  <r>
    <s v="PO-00702"/>
    <x v="1"/>
    <d v="2023-02-19T00:00:00"/>
    <d v="2023-02-21T00:00:00"/>
    <s v="Packaging"/>
    <x v="1"/>
    <n v="1680"/>
    <n v="88.85"/>
    <n v="87.53"/>
    <m/>
    <s v="Yes"/>
    <n v="147050.4"/>
  </r>
  <r>
    <s v="PO-00703"/>
    <x v="1"/>
    <d v="2022-06-19T00:00:00"/>
    <d v="2022-07-06T00:00:00"/>
    <s v="Electronics"/>
    <x v="1"/>
    <n v="1375"/>
    <n v="30.95"/>
    <n v="30.02"/>
    <n v="223"/>
    <s v="Yes"/>
    <n v="41277.5"/>
  </r>
  <r>
    <s v="PO-00704"/>
    <x v="1"/>
    <d v="2023-04-24T00:00:00"/>
    <d v="2023-05-05T00:00:00"/>
    <s v="Electronics"/>
    <x v="2"/>
    <n v="1971"/>
    <n v="32.4"/>
    <n v="30.48"/>
    <n v="321"/>
    <s v="Yes"/>
    <n v="60076.08"/>
  </r>
  <r>
    <s v="PO-00705"/>
    <x v="1"/>
    <d v="2022-05-11T00:00:00"/>
    <m/>
    <s v="Raw Materials"/>
    <x v="3"/>
    <n v="1326"/>
    <n v="59.49"/>
    <n v="56.21"/>
    <m/>
    <s v="Yes"/>
    <n v="74534.460000000006"/>
  </r>
  <r>
    <s v="PO-00706"/>
    <x v="1"/>
    <d v="2023-09-30T00:00:00"/>
    <d v="2023-10-13T00:00:00"/>
    <s v="MRO"/>
    <x v="0"/>
    <n v="548"/>
    <n v="69.7"/>
    <n v="61.87"/>
    <n v="90"/>
    <s v="Yes"/>
    <n v="33904.76"/>
  </r>
  <r>
    <s v="PO-00707"/>
    <x v="4"/>
    <d v="2023-07-01T00:00:00"/>
    <d v="2023-07-07T00:00:00"/>
    <s v="MRO"/>
    <x v="1"/>
    <n v="803"/>
    <n v="67.81"/>
    <n v="61.53"/>
    <n v="78"/>
    <s v="Yes"/>
    <n v="49408.590000000004"/>
  </r>
  <r>
    <s v="PO-00708"/>
    <x v="0"/>
    <d v="2022-01-28T00:00:00"/>
    <d v="2022-02-15T00:00:00"/>
    <s v="MRO"/>
    <x v="1"/>
    <n v="84"/>
    <n v="18.23"/>
    <n v="15.55"/>
    <n v="0"/>
    <s v="Yes"/>
    <n v="1306.2"/>
  </r>
  <r>
    <s v="PO-00709"/>
    <x v="3"/>
    <d v="2023-02-08T00:00:00"/>
    <d v="2023-02-20T00:00:00"/>
    <s v="Packaging"/>
    <x v="1"/>
    <n v="776"/>
    <n v="94.75"/>
    <n v="90.89"/>
    <n v="19"/>
    <s v="Yes"/>
    <n v="70530.64"/>
  </r>
  <r>
    <s v="PO-00710"/>
    <x v="0"/>
    <d v="2023-08-30T00:00:00"/>
    <d v="2023-09-08T00:00:00"/>
    <s v="MRO"/>
    <x v="1"/>
    <n v="898"/>
    <n v="37.119999999999997"/>
    <n v="35.54"/>
    <n v="18"/>
    <s v="No"/>
    <n v="31914.92"/>
  </r>
  <r>
    <s v="PO-00711"/>
    <x v="4"/>
    <d v="2023-08-01T00:00:00"/>
    <d v="2023-08-08T00:00:00"/>
    <s v="Office Supplies"/>
    <x v="0"/>
    <n v="139"/>
    <n v="23.71"/>
    <n v="20.18"/>
    <n v="14"/>
    <s v="Yes"/>
    <n v="2805.02"/>
  </r>
  <r>
    <s v="PO-00712"/>
    <x v="2"/>
    <d v="2023-11-10T00:00:00"/>
    <m/>
    <s v="Raw Materials"/>
    <x v="1"/>
    <n v="825"/>
    <n v="99.89"/>
    <n v="97.65"/>
    <n v="30"/>
    <s v="Yes"/>
    <n v="80561.25"/>
  </r>
  <r>
    <s v="PO-00713"/>
    <x v="0"/>
    <d v="2022-01-28T00:00:00"/>
    <d v="2022-02-07T00:00:00"/>
    <s v="MRO"/>
    <x v="1"/>
    <n v="654"/>
    <n v="96.01"/>
    <n v="90.31"/>
    <n v="10"/>
    <s v="Yes"/>
    <n v="59062.74"/>
  </r>
  <r>
    <s v="PO-00714"/>
    <x v="2"/>
    <d v="2022-03-27T00:00:00"/>
    <d v="2022-04-06T00:00:00"/>
    <s v="MRO"/>
    <x v="1"/>
    <n v="1995"/>
    <n v="88.47"/>
    <n v="82.65"/>
    <n v="87"/>
    <s v="No"/>
    <n v="164886.75"/>
  </r>
  <r>
    <s v="PO-00715"/>
    <x v="4"/>
    <d v="2023-10-21T00:00:00"/>
    <d v="2023-10-28T00:00:00"/>
    <s v="MRO"/>
    <x v="1"/>
    <n v="1019"/>
    <n v="91.56"/>
    <n v="77.930000000000007"/>
    <n v="111"/>
    <s v="No"/>
    <n v="79410.670000000013"/>
  </r>
  <r>
    <s v="PO-00716"/>
    <x v="3"/>
    <d v="2023-03-15T00:00:00"/>
    <d v="2023-03-31T00:00:00"/>
    <s v="Packaging"/>
    <x v="3"/>
    <n v="1675"/>
    <n v="73.8"/>
    <n v="65.34"/>
    <n v="42"/>
    <s v="Yes"/>
    <n v="109444.5"/>
  </r>
  <r>
    <s v="PO-00717"/>
    <x v="2"/>
    <d v="2022-05-19T00:00:00"/>
    <d v="2022-05-31T00:00:00"/>
    <s v="Raw Materials"/>
    <x v="3"/>
    <n v="1071"/>
    <n v="60.77"/>
    <n v="58.5"/>
    <m/>
    <s v="Yes"/>
    <n v="62653.5"/>
  </r>
  <r>
    <s v="PO-00718"/>
    <x v="4"/>
    <d v="2023-04-18T00:00:00"/>
    <d v="2023-04-27T00:00:00"/>
    <s v="Office Supplies"/>
    <x v="1"/>
    <n v="467"/>
    <n v="19.170000000000002"/>
    <n v="17.11"/>
    <n v="49"/>
    <s v="Yes"/>
    <n v="7990.37"/>
  </r>
  <r>
    <s v="PO-00719"/>
    <x v="1"/>
    <d v="2022-07-06T00:00:00"/>
    <d v="2022-07-25T00:00:00"/>
    <s v="MRO"/>
    <x v="3"/>
    <n v="164"/>
    <n v="48.16"/>
    <n v="47.46"/>
    <n v="27"/>
    <s v="Yes"/>
    <n v="7783.4400000000005"/>
  </r>
  <r>
    <s v="PO-00720"/>
    <x v="3"/>
    <d v="2022-02-21T00:00:00"/>
    <d v="2022-03-06T00:00:00"/>
    <s v="Electronics"/>
    <x v="0"/>
    <n v="666"/>
    <n v="43.76"/>
    <n v="41.13"/>
    <n v="18"/>
    <s v="Yes"/>
    <n v="27392.58"/>
  </r>
  <r>
    <s v="PO-00721"/>
    <x v="1"/>
    <d v="2022-09-24T00:00:00"/>
    <d v="2022-10-07T00:00:00"/>
    <s v="Packaging"/>
    <x v="2"/>
    <n v="1976"/>
    <n v="34.71"/>
    <n v="31.56"/>
    <n v="286"/>
    <s v="No"/>
    <n v="62362.559999999998"/>
  </r>
  <r>
    <s v="PO-00722"/>
    <x v="3"/>
    <d v="2023-01-24T00:00:00"/>
    <d v="2023-01-29T00:00:00"/>
    <s v="MRO"/>
    <x v="1"/>
    <n v="1269"/>
    <n v="79.61"/>
    <n v="71.86"/>
    <n v="47"/>
    <s v="Yes"/>
    <n v="91190.34"/>
  </r>
  <r>
    <s v="PO-00723"/>
    <x v="3"/>
    <d v="2022-12-02T00:00:00"/>
    <d v="2022-12-12T00:00:00"/>
    <s v="MRO"/>
    <x v="1"/>
    <n v="875"/>
    <n v="57.63"/>
    <n v="51.8"/>
    <n v="16"/>
    <s v="Yes"/>
    <n v="45325"/>
  </r>
  <r>
    <s v="PO-00724"/>
    <x v="0"/>
    <d v="2022-08-05T00:00:00"/>
    <m/>
    <s v="Packaging"/>
    <x v="2"/>
    <n v="1574"/>
    <n v="17.899999999999999"/>
    <n v="15.85"/>
    <n v="31"/>
    <s v="Yes"/>
    <n v="24947.899999999998"/>
  </r>
  <r>
    <s v="PO-00725"/>
    <x v="3"/>
    <d v="2023-04-11T00:00:00"/>
    <d v="2023-04-26T00:00:00"/>
    <s v="Office Supplies"/>
    <x v="2"/>
    <n v="1699"/>
    <n v="32.049999999999997"/>
    <n v="29.34"/>
    <n v="69"/>
    <s v="Yes"/>
    <n v="49848.659999999996"/>
  </r>
  <r>
    <s v="PO-00726"/>
    <x v="0"/>
    <d v="2022-12-01T00:00:00"/>
    <d v="2022-12-17T00:00:00"/>
    <s v="Electronics"/>
    <x v="1"/>
    <n v="1566"/>
    <n v="75.430000000000007"/>
    <n v="71.27"/>
    <n v="27"/>
    <s v="Yes"/>
    <n v="111608.81999999999"/>
  </r>
  <r>
    <s v="PO-00727"/>
    <x v="2"/>
    <d v="2022-12-12T00:00:00"/>
    <d v="2022-12-30T00:00:00"/>
    <s v="Electronics"/>
    <x v="1"/>
    <n v="1148"/>
    <n v="17.78"/>
    <n v="17.16"/>
    <n v="61"/>
    <s v="Yes"/>
    <n v="19699.68"/>
  </r>
  <r>
    <s v="PO-00728"/>
    <x v="3"/>
    <d v="2023-01-24T00:00:00"/>
    <d v="2023-02-11T00:00:00"/>
    <s v="Office Supplies"/>
    <x v="1"/>
    <n v="462"/>
    <n v="91.81"/>
    <n v="83.14"/>
    <n v="11"/>
    <s v="Yes"/>
    <n v="38410.68"/>
  </r>
  <r>
    <s v="PO-00729"/>
    <x v="2"/>
    <d v="2022-10-12T00:00:00"/>
    <d v="2022-10-17T00:00:00"/>
    <s v="Packaging"/>
    <x v="1"/>
    <n v="1449"/>
    <n v="57.02"/>
    <n v="49.28"/>
    <n v="71"/>
    <s v="Yes"/>
    <n v="71406.720000000001"/>
  </r>
  <r>
    <s v="PO-00730"/>
    <x v="3"/>
    <d v="2023-03-08T00:00:00"/>
    <d v="2023-03-27T00:00:00"/>
    <s v="MRO"/>
    <x v="1"/>
    <n v="1493"/>
    <n v="56.98"/>
    <n v="52.51"/>
    <n v="43"/>
    <s v="Yes"/>
    <n v="78397.429999999993"/>
  </r>
  <r>
    <s v="PO-00731"/>
    <x v="0"/>
    <d v="2022-09-16T00:00:00"/>
    <d v="2022-09-18T00:00:00"/>
    <s v="Office Supplies"/>
    <x v="1"/>
    <n v="778"/>
    <n v="65.849999999999994"/>
    <n v="62.08"/>
    <m/>
    <s v="No"/>
    <n v="48298.239999999998"/>
  </r>
  <r>
    <s v="PO-00732"/>
    <x v="1"/>
    <d v="2022-03-25T00:00:00"/>
    <d v="2022-04-11T00:00:00"/>
    <s v="Packaging"/>
    <x v="2"/>
    <n v="1350"/>
    <n v="85.06"/>
    <n v="82.34"/>
    <m/>
    <s v="No"/>
    <n v="111159"/>
  </r>
  <r>
    <s v="PO-00733"/>
    <x v="3"/>
    <d v="2023-04-27T00:00:00"/>
    <d v="2023-05-05T00:00:00"/>
    <s v="Packaging"/>
    <x v="1"/>
    <n v="1070"/>
    <n v="44.4"/>
    <n v="40.07"/>
    <n v="26"/>
    <s v="Yes"/>
    <n v="42874.9"/>
  </r>
  <r>
    <s v="PO-00734"/>
    <x v="4"/>
    <d v="2022-01-20T00:00:00"/>
    <d v="2022-02-03T00:00:00"/>
    <s v="Packaging"/>
    <x v="3"/>
    <n v="810"/>
    <n v="71.02"/>
    <n v="66.8"/>
    <n v="73"/>
    <s v="Yes"/>
    <n v="54108"/>
  </r>
  <r>
    <s v="PO-00735"/>
    <x v="1"/>
    <d v="2023-07-07T00:00:00"/>
    <d v="2023-07-23T00:00:00"/>
    <s v="Packaging"/>
    <x v="0"/>
    <n v="725"/>
    <n v="66.400000000000006"/>
    <n v="62.1"/>
    <n v="118"/>
    <s v="Yes"/>
    <n v="45022.5"/>
  </r>
  <r>
    <s v="PO-00736"/>
    <x v="0"/>
    <d v="2022-02-23T00:00:00"/>
    <d v="2022-02-28T00:00:00"/>
    <s v="Electronics"/>
    <x v="1"/>
    <n v="1467"/>
    <n v="34.200000000000003"/>
    <n v="30.5"/>
    <n v="25"/>
    <s v="Yes"/>
    <n v="44743.5"/>
  </r>
  <r>
    <s v="PO-00737"/>
    <x v="4"/>
    <d v="2022-12-25T00:00:00"/>
    <d v="2023-01-12T00:00:00"/>
    <s v="Packaging"/>
    <x v="1"/>
    <n v="1942"/>
    <n v="93.98"/>
    <n v="81.31"/>
    <n v="198"/>
    <s v="Yes"/>
    <n v="157904.02000000002"/>
  </r>
  <r>
    <s v="PO-00738"/>
    <x v="2"/>
    <d v="2022-08-18T00:00:00"/>
    <m/>
    <s v="Office Supplies"/>
    <x v="1"/>
    <n v="506"/>
    <n v="84.63"/>
    <n v="72.69"/>
    <n v="20"/>
    <s v="Yes"/>
    <n v="36781.14"/>
  </r>
  <r>
    <s v="PO-00739"/>
    <x v="0"/>
    <d v="2023-10-28T00:00:00"/>
    <d v="2023-11-13T00:00:00"/>
    <s v="MRO"/>
    <x v="1"/>
    <n v="969"/>
    <n v="76.53"/>
    <n v="75.64"/>
    <n v="30"/>
    <s v="Yes"/>
    <n v="73295.16"/>
  </r>
  <r>
    <s v="PO-00740"/>
    <x v="1"/>
    <d v="2022-03-12T00:00:00"/>
    <d v="2022-03-19T00:00:00"/>
    <s v="MRO"/>
    <x v="1"/>
    <n v="241"/>
    <n v="87.42"/>
    <n v="82.15"/>
    <m/>
    <s v="Yes"/>
    <n v="19798.150000000001"/>
  </r>
  <r>
    <s v="PO-00741"/>
    <x v="2"/>
    <d v="2023-10-30T00:00:00"/>
    <d v="2023-11-09T00:00:00"/>
    <s v="Raw Materials"/>
    <x v="1"/>
    <n v="788"/>
    <n v="97.3"/>
    <n v="94.44"/>
    <n v="32"/>
    <s v="Yes"/>
    <n v="74418.720000000001"/>
  </r>
  <r>
    <s v="PO-00742"/>
    <x v="2"/>
    <d v="2022-02-11T00:00:00"/>
    <d v="2022-02-13T00:00:00"/>
    <s v="Office Supplies"/>
    <x v="1"/>
    <n v="1762"/>
    <n v="74.12"/>
    <n v="65.709999999999994"/>
    <n v="94"/>
    <s v="Yes"/>
    <n v="115781.01999999999"/>
  </r>
  <r>
    <s v="PO-00743"/>
    <x v="0"/>
    <d v="2022-02-01T00:00:00"/>
    <m/>
    <s v="Raw Materials"/>
    <x v="3"/>
    <n v="1172"/>
    <n v="85.76"/>
    <n v="81.430000000000007"/>
    <n v="25"/>
    <s v="Yes"/>
    <n v="95435.96"/>
  </r>
  <r>
    <s v="PO-00744"/>
    <x v="1"/>
    <d v="2022-09-11T00:00:00"/>
    <d v="2022-09-30T00:00:00"/>
    <s v="Office Supplies"/>
    <x v="1"/>
    <n v="1621"/>
    <n v="75.680000000000007"/>
    <n v="73.78"/>
    <n v="226"/>
    <s v="No"/>
    <n v="119597.38"/>
  </r>
  <r>
    <s v="PO-00745"/>
    <x v="0"/>
    <d v="2022-07-24T00:00:00"/>
    <d v="2022-07-26T00:00:00"/>
    <s v="Packaging"/>
    <x v="1"/>
    <n v="1027"/>
    <n v="73.349999999999994"/>
    <n v="65.42"/>
    <n v="24"/>
    <s v="No"/>
    <n v="67186.34"/>
  </r>
  <r>
    <s v="PO-00746"/>
    <x v="4"/>
    <d v="2022-01-21T00:00:00"/>
    <m/>
    <s v="Raw Materials"/>
    <x v="1"/>
    <n v="1058"/>
    <n v="65.680000000000007"/>
    <n v="57.21"/>
    <n v="101"/>
    <s v="Yes"/>
    <n v="60528.18"/>
  </r>
  <r>
    <s v="PO-00747"/>
    <x v="4"/>
    <d v="2023-09-29T00:00:00"/>
    <d v="2023-10-05T00:00:00"/>
    <s v="Packaging"/>
    <x v="1"/>
    <n v="145"/>
    <n v="85.52"/>
    <n v="81.86"/>
    <n v="11"/>
    <s v="No"/>
    <n v="11869.7"/>
  </r>
  <r>
    <s v="PO-00748"/>
    <x v="3"/>
    <d v="2022-06-06T00:00:00"/>
    <m/>
    <s v="Office Supplies"/>
    <x v="1"/>
    <n v="1737"/>
    <n v="24.88"/>
    <n v="24.28"/>
    <n v="46"/>
    <s v="Yes"/>
    <n v="42174.36"/>
  </r>
  <r>
    <s v="PO-00749"/>
    <x v="2"/>
    <d v="2022-09-02T00:00:00"/>
    <d v="2022-09-15T00:00:00"/>
    <s v="Electronics"/>
    <x v="1"/>
    <n v="712"/>
    <n v="92.85"/>
    <n v="89.39"/>
    <n v="43"/>
    <s v="Yes"/>
    <n v="63645.68"/>
  </r>
  <r>
    <s v="PO-00750"/>
    <x v="3"/>
    <d v="2022-05-10T00:00:00"/>
    <d v="2022-05-16T00:00:00"/>
    <s v="Electronics"/>
    <x v="1"/>
    <n v="1263"/>
    <n v="90.24"/>
    <n v="86.84"/>
    <n v="28"/>
    <s v="Yes"/>
    <n v="109678.92"/>
  </r>
  <r>
    <s v="PO-00751"/>
    <x v="1"/>
    <d v="2023-04-30T00:00:00"/>
    <m/>
    <s v="Electronics"/>
    <x v="1"/>
    <n v="1809"/>
    <n v="13.58"/>
    <n v="12.68"/>
    <m/>
    <s v="No"/>
    <n v="22938.12"/>
  </r>
  <r>
    <s v="PO-00752"/>
    <x v="4"/>
    <d v="2023-11-17T00:00:00"/>
    <m/>
    <s v="Electronics"/>
    <x v="0"/>
    <n v="86"/>
    <n v="93.6"/>
    <n v="88.22"/>
    <n v="5"/>
    <s v="Yes"/>
    <n v="7586.92"/>
  </r>
  <r>
    <s v="PO-00753"/>
    <x v="3"/>
    <d v="2022-04-28T00:00:00"/>
    <m/>
    <s v="MRO"/>
    <x v="1"/>
    <n v="1853"/>
    <n v="21.92"/>
    <n v="20.72"/>
    <m/>
    <s v="Yes"/>
    <n v="38394.159999999996"/>
  </r>
  <r>
    <s v="PO-00754"/>
    <x v="4"/>
    <d v="2023-08-01T00:00:00"/>
    <d v="2023-08-02T00:00:00"/>
    <s v="Electronics"/>
    <x v="1"/>
    <n v="1442"/>
    <n v="43.98"/>
    <n v="41.82"/>
    <n v="140"/>
    <s v="No"/>
    <n v="60304.44"/>
  </r>
  <r>
    <s v="PO-00755"/>
    <x v="4"/>
    <d v="2022-08-12T00:00:00"/>
    <d v="2022-09-01T00:00:00"/>
    <s v="Office Supplies"/>
    <x v="3"/>
    <n v="1768"/>
    <n v="79.61"/>
    <n v="74.97"/>
    <n v="207"/>
    <s v="No"/>
    <n v="132546.96"/>
  </r>
  <r>
    <s v="PO-00756"/>
    <x v="4"/>
    <d v="2023-04-22T00:00:00"/>
    <d v="2023-05-03T00:00:00"/>
    <s v="Electronics"/>
    <x v="2"/>
    <n v="1598"/>
    <n v="26.3"/>
    <n v="26.03"/>
    <n v="154"/>
    <s v="No"/>
    <n v="41595.94"/>
  </r>
  <r>
    <s v="PO-00757"/>
    <x v="0"/>
    <d v="2023-12-18T00:00:00"/>
    <d v="2024-01-05T00:00:00"/>
    <s v="MRO"/>
    <x v="0"/>
    <n v="328"/>
    <n v="93.23"/>
    <n v="82.63"/>
    <n v="6"/>
    <s v="Yes"/>
    <n v="27102.639999999999"/>
  </r>
  <r>
    <s v="PO-00758"/>
    <x v="3"/>
    <d v="2022-09-20T00:00:00"/>
    <d v="2022-09-25T00:00:00"/>
    <s v="Packaging"/>
    <x v="1"/>
    <n v="266"/>
    <n v="88.29"/>
    <n v="80.22"/>
    <n v="4"/>
    <s v="Yes"/>
    <n v="21338.52"/>
  </r>
  <r>
    <s v="PO-00759"/>
    <x v="2"/>
    <d v="2023-01-13T00:00:00"/>
    <d v="2023-01-28T00:00:00"/>
    <s v="Raw Materials"/>
    <x v="1"/>
    <n v="916"/>
    <n v="59.01"/>
    <n v="53.37"/>
    <n v="47"/>
    <s v="Yes"/>
    <n v="48886.92"/>
  </r>
  <r>
    <s v="PO-00760"/>
    <x v="3"/>
    <d v="2022-06-21T00:00:00"/>
    <d v="2022-06-25T00:00:00"/>
    <s v="Packaging"/>
    <x v="0"/>
    <n v="922"/>
    <n v="10.84"/>
    <n v="9.27"/>
    <n v="29"/>
    <s v="Yes"/>
    <n v="8546.94"/>
  </r>
  <r>
    <s v="PO-00761"/>
    <x v="2"/>
    <d v="2023-09-13T00:00:00"/>
    <d v="2023-09-28T00:00:00"/>
    <s v="Packaging"/>
    <x v="1"/>
    <n v="1871"/>
    <n v="39.42"/>
    <n v="37.409999999999997"/>
    <n v="101"/>
    <s v="No"/>
    <n v="69994.11"/>
  </r>
  <r>
    <s v="PO-00762"/>
    <x v="3"/>
    <d v="2023-09-14T00:00:00"/>
    <d v="2023-09-20T00:00:00"/>
    <s v="Raw Materials"/>
    <x v="1"/>
    <n v="1346"/>
    <n v="72.08"/>
    <n v="67.040000000000006"/>
    <n v="38"/>
    <s v="Yes"/>
    <n v="90235.840000000011"/>
  </r>
  <r>
    <s v="PO-00763"/>
    <x v="3"/>
    <d v="2022-04-28T00:00:00"/>
    <d v="2022-05-09T00:00:00"/>
    <s v="Electronics"/>
    <x v="1"/>
    <n v="1954"/>
    <n v="99.78"/>
    <n v="87.47"/>
    <n v="57"/>
    <s v="Yes"/>
    <n v="170916.38"/>
  </r>
  <r>
    <s v="PO-00764"/>
    <x v="4"/>
    <d v="2022-06-17T00:00:00"/>
    <d v="2022-07-06T00:00:00"/>
    <s v="Electronics"/>
    <x v="1"/>
    <n v="111"/>
    <n v="68.53"/>
    <n v="65.22"/>
    <n v="11"/>
    <s v="Yes"/>
    <n v="7239.42"/>
  </r>
  <r>
    <s v="PO-00765"/>
    <x v="2"/>
    <d v="2022-11-15T00:00:00"/>
    <d v="2022-11-22T00:00:00"/>
    <s v="Office Supplies"/>
    <x v="3"/>
    <n v="645"/>
    <n v="35.049999999999997"/>
    <n v="30.88"/>
    <n v="27"/>
    <s v="Yes"/>
    <n v="19917.599999999999"/>
  </r>
  <r>
    <s v="PO-00766"/>
    <x v="2"/>
    <d v="2022-04-21T00:00:00"/>
    <d v="2022-05-04T00:00:00"/>
    <s v="Electronics"/>
    <x v="0"/>
    <n v="1953"/>
    <n v="68.069999999999993"/>
    <n v="62.95"/>
    <n v="87"/>
    <s v="Yes"/>
    <n v="122941.35"/>
  </r>
  <r>
    <s v="PO-00767"/>
    <x v="2"/>
    <d v="2023-08-16T00:00:00"/>
    <d v="2023-09-02T00:00:00"/>
    <s v="Electronics"/>
    <x v="1"/>
    <n v="778"/>
    <n v="64.17"/>
    <n v="61.6"/>
    <n v="47"/>
    <s v="Yes"/>
    <n v="47924.800000000003"/>
  </r>
  <r>
    <s v="PO-00768"/>
    <x v="3"/>
    <d v="2022-01-27T00:00:00"/>
    <d v="2022-02-09T00:00:00"/>
    <s v="Office Supplies"/>
    <x v="1"/>
    <n v="1415"/>
    <n v="80.19"/>
    <n v="78.34"/>
    <m/>
    <s v="Yes"/>
    <n v="110851.1"/>
  </r>
  <r>
    <s v="PO-00769"/>
    <x v="2"/>
    <d v="2022-11-16T00:00:00"/>
    <d v="2022-11-22T00:00:00"/>
    <s v="Raw Materials"/>
    <x v="1"/>
    <n v="446"/>
    <n v="20.61"/>
    <n v="19.46"/>
    <n v="14"/>
    <s v="Yes"/>
    <n v="8679.16"/>
  </r>
  <r>
    <s v="PO-00770"/>
    <x v="3"/>
    <d v="2023-08-13T00:00:00"/>
    <m/>
    <s v="Office Supplies"/>
    <x v="1"/>
    <n v="748"/>
    <n v="85.95"/>
    <n v="79.16"/>
    <n v="32"/>
    <s v="Yes"/>
    <n v="59211.68"/>
  </r>
  <r>
    <s v="PO-00771"/>
    <x v="0"/>
    <d v="2023-11-25T00:00:00"/>
    <d v="2023-12-03T00:00:00"/>
    <s v="Electronics"/>
    <x v="3"/>
    <n v="1092"/>
    <n v="65.17"/>
    <n v="63.11"/>
    <n v="21"/>
    <s v="Yes"/>
    <n v="68916.12"/>
  </r>
  <r>
    <s v="PO-00772"/>
    <x v="4"/>
    <d v="2023-01-20T00:00:00"/>
    <d v="2023-02-02T00:00:00"/>
    <s v="Electronics"/>
    <x v="1"/>
    <n v="226"/>
    <n v="102.47"/>
    <n v="99.16"/>
    <n v="28"/>
    <s v="Yes"/>
    <n v="22410.16"/>
  </r>
  <r>
    <s v="PO-00773"/>
    <x v="1"/>
    <d v="2023-02-11T00:00:00"/>
    <d v="2023-02-20T00:00:00"/>
    <s v="Electronics"/>
    <x v="1"/>
    <n v="1685"/>
    <n v="43.42"/>
    <n v="42.24"/>
    <n v="262"/>
    <s v="Yes"/>
    <n v="71174.400000000009"/>
  </r>
  <r>
    <s v="PO-00774"/>
    <x v="0"/>
    <d v="2022-07-23T00:00:00"/>
    <m/>
    <s v="Office Supplies"/>
    <x v="1"/>
    <n v="445"/>
    <n v="68.94"/>
    <n v="60.35"/>
    <n v="7"/>
    <s v="Yes"/>
    <n v="26855.75"/>
  </r>
  <r>
    <s v="PO-00775"/>
    <x v="2"/>
    <d v="2022-03-19T00:00:00"/>
    <d v="2022-04-07T00:00:00"/>
    <s v="Raw Materials"/>
    <x v="1"/>
    <n v="494"/>
    <n v="94.82"/>
    <n v="81.89"/>
    <n v="29"/>
    <s v="Yes"/>
    <n v="40453.660000000003"/>
  </r>
  <r>
    <s v="PO-00776"/>
    <x v="4"/>
    <d v="2023-08-30T00:00:00"/>
    <d v="2023-09-11T00:00:00"/>
    <s v="MRO"/>
    <x v="1"/>
    <n v="1306"/>
    <n v="21.05"/>
    <n v="18.27"/>
    <n v="128"/>
    <s v="Yes"/>
    <n v="23860.62"/>
  </r>
  <r>
    <s v="PO-00777"/>
    <x v="4"/>
    <d v="2023-12-09T00:00:00"/>
    <d v="2023-12-11T00:00:00"/>
    <s v="Office Supplies"/>
    <x v="1"/>
    <n v="1988"/>
    <n v="105.2"/>
    <n v="93.23"/>
    <n v="187"/>
    <s v="Yes"/>
    <n v="185341.24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8C0599-558D-4EBC-8C3E-6B3C6F9864FC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12">
    <pivotField showAll="0"/>
    <pivotField axis="axisRow" showAll="0" defaultSubtotal="0">
      <items count="5">
        <item x="0"/>
        <item x="4"/>
        <item x="1"/>
        <item x="3"/>
        <item x="2"/>
      </items>
    </pivotField>
    <pivotField numFmtId="14" showAll="0"/>
    <pivotField showAll="0"/>
    <pivotField showAll="0"/>
    <pivotField axis="axisPage" multipleItemSelectionAllowed="1" showAll="0">
      <items count="5">
        <item h="1" x="0"/>
        <item x="1"/>
        <item x="2"/>
        <item h="1" x="3"/>
        <item t="default"/>
      </items>
    </pivotField>
    <pivotField showAll="0"/>
    <pivotField numFmtId="44" showAll="0"/>
    <pivotField showAll="0"/>
    <pivotField showAll="0"/>
    <pivotField showAll="0"/>
    <pivotField dataField="1" numFmtId="44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5" hier="-1"/>
  </pageFields>
  <dataFields count="1">
    <dataField name="Sum of Actual_Spend" fld="11" baseField="0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110E59-4032-4931-B291-9B85A3534EBE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2">
    <pivotField showAll="0"/>
    <pivotField showAll="0"/>
    <pivotField numFmtId="14" showAll="0"/>
    <pivotField showAll="0"/>
    <pivotField showAll="0"/>
    <pivotField axis="axisRow" dataField="1" showAll="0">
      <items count="5">
        <item x="0"/>
        <item x="1"/>
        <item x="2"/>
        <item x="3"/>
        <item t="default"/>
      </items>
    </pivotField>
    <pivotField showAll="0"/>
    <pivotField numFmtId="44" showAll="0"/>
    <pivotField showAll="0"/>
    <pivotField showAll="0"/>
    <pivotField showAll="0"/>
    <pivotField numFmtId="44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Statu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AF13-98DC-4040-977C-6B97BF623D91}">
  <dimension ref="A1:C13"/>
  <sheetViews>
    <sheetView tabSelected="1" workbookViewId="0">
      <selection activeCell="G23" sqref="G23"/>
    </sheetView>
  </sheetViews>
  <sheetFormatPr defaultRowHeight="13.8"/>
  <cols>
    <col min="1" max="1" width="18.59765625" bestFit="1" customWidth="1"/>
    <col min="2" max="2" width="18.19921875" bestFit="1" customWidth="1"/>
    <col min="3" max="3" width="10.09765625" bestFit="1" customWidth="1"/>
  </cols>
  <sheetData>
    <row r="1" spans="1:3">
      <c r="A1" s="4" t="s">
        <v>5</v>
      </c>
      <c r="B1" t="s">
        <v>809</v>
      </c>
    </row>
    <row r="3" spans="1:3">
      <c r="A3" s="4" t="s">
        <v>805</v>
      </c>
      <c r="B3" t="s">
        <v>807</v>
      </c>
    </row>
    <row r="4" spans="1:3">
      <c r="A4" s="5" t="s">
        <v>13</v>
      </c>
      <c r="B4" s="7">
        <v>6425547.1400000025</v>
      </c>
    </row>
    <row r="5" spans="1:3">
      <c r="A5" s="5" t="s">
        <v>38</v>
      </c>
      <c r="B5" s="7">
        <v>7238865.3200000031</v>
      </c>
    </row>
    <row r="6" spans="1:3">
      <c r="A6" s="5" t="s">
        <v>18</v>
      </c>
      <c r="B6" s="7">
        <v>7366857.2599999979</v>
      </c>
    </row>
    <row r="7" spans="1:3">
      <c r="A7" s="5" t="s">
        <v>29</v>
      </c>
      <c r="B7" s="7">
        <v>8064869.0800000029</v>
      </c>
    </row>
    <row r="8" spans="1:3">
      <c r="A8" s="5" t="s">
        <v>21</v>
      </c>
      <c r="B8" s="7">
        <v>7380760.1599999992</v>
      </c>
    </row>
    <row r="9" spans="1:3">
      <c r="A9" s="5" t="s">
        <v>806</v>
      </c>
      <c r="B9" s="7">
        <v>36476898.960000001</v>
      </c>
    </row>
    <row r="12" spans="1:3">
      <c r="A12" s="5" t="s">
        <v>810</v>
      </c>
      <c r="B12" t="s">
        <v>812</v>
      </c>
      <c r="C12" t="s">
        <v>811</v>
      </c>
    </row>
    <row r="13" spans="1:3">
      <c r="A13" s="3">
        <v>7380760.1600000001</v>
      </c>
      <c r="B13">
        <v>2.8999999999999998E-3</v>
      </c>
      <c r="C13" s="3">
        <f>A13*0.2*B13</f>
        <v>4280.8408927999999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EE86-BCAB-4784-BA3F-5D500FD33441}">
  <dimension ref="A3:B8"/>
  <sheetViews>
    <sheetView workbookViewId="0">
      <selection activeCell="A3" sqref="A3"/>
    </sheetView>
  </sheetViews>
  <sheetFormatPr defaultRowHeight="13.8"/>
  <cols>
    <col min="1" max="1" width="15.5" bestFit="1" customWidth="1"/>
    <col min="2" max="2" width="19.09765625" bestFit="1" customWidth="1"/>
  </cols>
  <sheetData>
    <row r="3" spans="1:2">
      <c r="A3" s="4" t="s">
        <v>805</v>
      </c>
      <c r="B3" t="s">
        <v>808</v>
      </c>
    </row>
    <row r="4" spans="1:2">
      <c r="A4" s="5" t="s">
        <v>15</v>
      </c>
      <c r="B4" s="6">
        <v>63</v>
      </c>
    </row>
    <row r="5" spans="1:2">
      <c r="A5" s="5" t="s">
        <v>19</v>
      </c>
      <c r="B5" s="6">
        <v>560</v>
      </c>
    </row>
    <row r="6" spans="1:2">
      <c r="A6" s="5" t="s">
        <v>33</v>
      </c>
      <c r="B6" s="6">
        <v>73</v>
      </c>
    </row>
    <row r="7" spans="1:2">
      <c r="A7" s="5" t="s">
        <v>35</v>
      </c>
      <c r="B7" s="6">
        <v>81</v>
      </c>
    </row>
    <row r="8" spans="1:2">
      <c r="A8" s="5" t="s">
        <v>806</v>
      </c>
      <c r="B8" s="6">
        <v>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62E7E-36BC-41B1-8A54-D20E661174C9}">
  <dimension ref="A1:L782"/>
  <sheetViews>
    <sheetView workbookViewId="0">
      <selection activeCell="E23" sqref="E23"/>
    </sheetView>
  </sheetViews>
  <sheetFormatPr defaultRowHeight="13.8"/>
  <cols>
    <col min="3" max="3" width="10.296875" bestFit="1" customWidth="1"/>
    <col min="4" max="4" width="12.19921875" bestFit="1" customWidth="1"/>
    <col min="5" max="5" width="12.5" bestFit="1" customWidth="1"/>
    <col min="6" max="6" width="11.59765625" bestFit="1" customWidth="1"/>
    <col min="9" max="9" width="14.796875" bestFit="1" customWidth="1"/>
    <col min="11" max="11" width="10.296875" bestFit="1" customWidth="1"/>
    <col min="12" max="12" width="12.09765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</row>
    <row r="2" spans="1:12">
      <c r="A2" t="s">
        <v>12</v>
      </c>
      <c r="B2" t="s">
        <v>13</v>
      </c>
      <c r="C2" s="1">
        <v>45216</v>
      </c>
      <c r="D2" s="1">
        <v>45224</v>
      </c>
      <c r="E2" t="s">
        <v>14</v>
      </c>
      <c r="F2" t="s">
        <v>15</v>
      </c>
      <c r="G2" s="2">
        <v>1176</v>
      </c>
      <c r="H2" s="3">
        <v>20.13</v>
      </c>
      <c r="I2">
        <v>17.809999999999999</v>
      </c>
      <c r="K2" t="s">
        <v>16</v>
      </c>
      <c r="L2" s="3">
        <f>I2*G2</f>
        <v>20944.559999999998</v>
      </c>
    </row>
    <row r="3" spans="1:12">
      <c r="A3" t="s">
        <v>17</v>
      </c>
      <c r="B3" t="s">
        <v>18</v>
      </c>
      <c r="C3" s="1">
        <v>44676</v>
      </c>
      <c r="D3" s="1">
        <v>44686</v>
      </c>
      <c r="E3" t="s">
        <v>14</v>
      </c>
      <c r="F3" t="s">
        <v>19</v>
      </c>
      <c r="G3" s="2">
        <v>1509</v>
      </c>
      <c r="H3" s="3">
        <v>39.32</v>
      </c>
      <c r="I3">
        <v>37.340000000000003</v>
      </c>
      <c r="J3">
        <v>235</v>
      </c>
      <c r="K3" t="s">
        <v>16</v>
      </c>
      <c r="L3" s="3">
        <f t="shared" ref="L3:L66" si="0">I3*G3</f>
        <v>56346.060000000005</v>
      </c>
    </row>
    <row r="4" spans="1:12">
      <c r="A4" t="s">
        <v>20</v>
      </c>
      <c r="B4" t="s">
        <v>21</v>
      </c>
      <c r="C4" s="1">
        <v>44587</v>
      </c>
      <c r="D4" s="1">
        <v>44607</v>
      </c>
      <c r="E4" t="s">
        <v>22</v>
      </c>
      <c r="F4" t="s">
        <v>19</v>
      </c>
      <c r="G4">
        <v>910</v>
      </c>
      <c r="H4" s="3">
        <v>95.51</v>
      </c>
      <c r="I4">
        <v>92.26</v>
      </c>
      <c r="J4">
        <v>41</v>
      </c>
      <c r="K4" t="s">
        <v>16</v>
      </c>
      <c r="L4" s="3">
        <f t="shared" si="0"/>
        <v>83956.6</v>
      </c>
    </row>
    <row r="5" spans="1:12">
      <c r="A5" t="s">
        <v>23</v>
      </c>
      <c r="B5" t="s">
        <v>29</v>
      </c>
      <c r="C5" s="1">
        <v>44843</v>
      </c>
      <c r="D5" s="1">
        <v>44862</v>
      </c>
      <c r="E5" t="s">
        <v>24</v>
      </c>
      <c r="F5" t="s">
        <v>19</v>
      </c>
      <c r="G5" s="2">
        <v>1344</v>
      </c>
      <c r="H5" s="3">
        <v>99.85</v>
      </c>
      <c r="I5">
        <v>95.52</v>
      </c>
      <c r="J5">
        <v>112</v>
      </c>
      <c r="K5" t="s">
        <v>16</v>
      </c>
      <c r="L5" s="3">
        <f>I5*G5</f>
        <v>128378.87999999999</v>
      </c>
    </row>
    <row r="6" spans="1:12">
      <c r="A6" t="s">
        <v>25</v>
      </c>
      <c r="B6" t="s">
        <v>18</v>
      </c>
      <c r="C6" s="1">
        <v>44812</v>
      </c>
      <c r="D6" s="1">
        <v>44824</v>
      </c>
      <c r="E6" t="s">
        <v>26</v>
      </c>
      <c r="F6" t="s">
        <v>19</v>
      </c>
      <c r="G6" s="2">
        <v>1180</v>
      </c>
      <c r="H6" s="3">
        <v>64.069999999999993</v>
      </c>
      <c r="I6">
        <v>60.53</v>
      </c>
      <c r="J6">
        <v>171</v>
      </c>
      <c r="K6" t="s">
        <v>27</v>
      </c>
      <c r="L6" s="3">
        <f t="shared" si="0"/>
        <v>71425.399999999994</v>
      </c>
    </row>
    <row r="7" spans="1:12">
      <c r="A7" t="s">
        <v>28</v>
      </c>
      <c r="B7" t="s">
        <v>29</v>
      </c>
      <c r="C7" s="1">
        <v>44790</v>
      </c>
      <c r="D7" s="1">
        <v>44802</v>
      </c>
      <c r="E7" t="s">
        <v>22</v>
      </c>
      <c r="F7" t="s">
        <v>19</v>
      </c>
      <c r="G7" s="2">
        <v>1145</v>
      </c>
      <c r="H7" s="3">
        <v>69.209999999999994</v>
      </c>
      <c r="I7">
        <v>63.57</v>
      </c>
      <c r="J7">
        <v>39</v>
      </c>
      <c r="K7" t="s">
        <v>16</v>
      </c>
      <c r="L7" s="3">
        <f t="shared" si="0"/>
        <v>72787.649999999994</v>
      </c>
    </row>
    <row r="8" spans="1:12">
      <c r="A8" t="s">
        <v>30</v>
      </c>
      <c r="B8" t="s">
        <v>21</v>
      </c>
      <c r="C8" s="1">
        <v>44704</v>
      </c>
      <c r="D8" s="1">
        <v>44715</v>
      </c>
      <c r="E8" t="s">
        <v>22</v>
      </c>
      <c r="F8" t="s">
        <v>19</v>
      </c>
      <c r="G8" s="2">
        <v>1774</v>
      </c>
      <c r="H8" s="3">
        <v>51.37</v>
      </c>
      <c r="I8">
        <v>47.82</v>
      </c>
      <c r="J8">
        <v>96</v>
      </c>
      <c r="K8" t="s">
        <v>27</v>
      </c>
      <c r="L8" s="3">
        <f t="shared" si="0"/>
        <v>84832.680000000008</v>
      </c>
    </row>
    <row r="9" spans="1:12">
      <c r="A9" t="s">
        <v>31</v>
      </c>
      <c r="B9" t="s">
        <v>13</v>
      </c>
      <c r="C9" s="1">
        <v>44666</v>
      </c>
      <c r="D9" s="1">
        <v>44680</v>
      </c>
      <c r="E9" t="s">
        <v>22</v>
      </c>
      <c r="F9" t="s">
        <v>19</v>
      </c>
      <c r="G9" s="2">
        <v>1094</v>
      </c>
      <c r="H9" s="3">
        <v>36.93</v>
      </c>
      <c r="I9">
        <v>32.78</v>
      </c>
      <c r="J9">
        <v>22</v>
      </c>
      <c r="K9" t="s">
        <v>16</v>
      </c>
      <c r="L9" s="3">
        <f t="shared" si="0"/>
        <v>35861.32</v>
      </c>
    </row>
    <row r="10" spans="1:12">
      <c r="A10" t="s">
        <v>32</v>
      </c>
      <c r="B10" t="s">
        <v>21</v>
      </c>
      <c r="C10" s="1">
        <v>45254</v>
      </c>
      <c r="D10" s="1">
        <v>45258</v>
      </c>
      <c r="E10" t="s">
        <v>26</v>
      </c>
      <c r="F10" t="s">
        <v>33</v>
      </c>
      <c r="G10" s="2">
        <v>1688</v>
      </c>
      <c r="H10" s="3">
        <v>43.93</v>
      </c>
      <c r="I10">
        <v>39.89</v>
      </c>
      <c r="J10">
        <v>89</v>
      </c>
      <c r="K10" t="s">
        <v>16</v>
      </c>
      <c r="L10" s="3">
        <f t="shared" si="0"/>
        <v>67334.320000000007</v>
      </c>
    </row>
    <row r="11" spans="1:12">
      <c r="A11" t="s">
        <v>34</v>
      </c>
      <c r="B11" t="s">
        <v>21</v>
      </c>
      <c r="C11" s="1">
        <v>45120</v>
      </c>
      <c r="D11" s="1">
        <v>45132</v>
      </c>
      <c r="E11" t="s">
        <v>26</v>
      </c>
      <c r="F11" t="s">
        <v>35</v>
      </c>
      <c r="G11">
        <v>171</v>
      </c>
      <c r="H11" s="3">
        <v>76.87</v>
      </c>
      <c r="I11">
        <v>70.2</v>
      </c>
      <c r="J11">
        <v>8</v>
      </c>
      <c r="K11" t="s">
        <v>16</v>
      </c>
      <c r="L11" s="3">
        <f t="shared" si="0"/>
        <v>12004.2</v>
      </c>
    </row>
    <row r="12" spans="1:12">
      <c r="A12" t="s">
        <v>36</v>
      </c>
      <c r="B12" t="s">
        <v>29</v>
      </c>
      <c r="C12" s="1">
        <v>44651</v>
      </c>
      <c r="D12" s="1">
        <v>44666</v>
      </c>
      <c r="E12" t="s">
        <v>26</v>
      </c>
      <c r="F12" t="s">
        <v>19</v>
      </c>
      <c r="G12" s="2">
        <v>5000</v>
      </c>
      <c r="H12" s="3">
        <v>78.489999999999995</v>
      </c>
      <c r="I12">
        <v>73.680000000000007</v>
      </c>
      <c r="J12">
        <v>18</v>
      </c>
      <c r="K12" t="s">
        <v>16</v>
      </c>
      <c r="L12" s="3">
        <f t="shared" si="0"/>
        <v>368400.00000000006</v>
      </c>
    </row>
    <row r="13" spans="1:12">
      <c r="A13" t="s">
        <v>37</v>
      </c>
      <c r="B13" t="s">
        <v>38</v>
      </c>
      <c r="C13" s="1">
        <v>45166</v>
      </c>
      <c r="D13" s="1">
        <v>45180</v>
      </c>
      <c r="E13" t="s">
        <v>26</v>
      </c>
      <c r="F13" t="s">
        <v>19</v>
      </c>
      <c r="G13" s="2">
        <v>5000</v>
      </c>
      <c r="H13" s="3">
        <v>88.96</v>
      </c>
      <c r="I13">
        <v>86.58</v>
      </c>
      <c r="J13">
        <v>115</v>
      </c>
      <c r="K13" t="s">
        <v>16</v>
      </c>
      <c r="L13" s="3">
        <f t="shared" si="0"/>
        <v>432900</v>
      </c>
    </row>
    <row r="14" spans="1:12">
      <c r="A14" t="s">
        <v>39</v>
      </c>
      <c r="B14" t="s">
        <v>38</v>
      </c>
      <c r="C14" s="1">
        <v>44994</v>
      </c>
      <c r="D14" s="1">
        <v>45011</v>
      </c>
      <c r="E14" t="s">
        <v>40</v>
      </c>
      <c r="F14" t="s">
        <v>35</v>
      </c>
      <c r="G14" s="2">
        <v>5000</v>
      </c>
      <c r="H14" s="3">
        <v>86.74</v>
      </c>
      <c r="I14">
        <v>74.86</v>
      </c>
      <c r="J14">
        <v>51</v>
      </c>
      <c r="K14" t="s">
        <v>16</v>
      </c>
      <c r="L14" s="3">
        <f t="shared" si="0"/>
        <v>374300</v>
      </c>
    </row>
    <row r="15" spans="1:12">
      <c r="A15" t="s">
        <v>41</v>
      </c>
      <c r="B15" t="s">
        <v>38</v>
      </c>
      <c r="C15" s="1">
        <v>44594</v>
      </c>
      <c r="E15" t="s">
        <v>22</v>
      </c>
      <c r="F15" t="s">
        <v>19</v>
      </c>
      <c r="G15" s="2">
        <v>5000</v>
      </c>
      <c r="H15" s="3">
        <v>18.3</v>
      </c>
      <c r="I15">
        <v>16.88</v>
      </c>
      <c r="K15" t="s">
        <v>16</v>
      </c>
      <c r="L15" s="3">
        <f t="shared" si="0"/>
        <v>84400</v>
      </c>
    </row>
    <row r="16" spans="1:12">
      <c r="A16" t="s">
        <v>42</v>
      </c>
      <c r="B16" t="s">
        <v>18</v>
      </c>
      <c r="C16" s="1">
        <v>44592</v>
      </c>
      <c r="D16" s="1">
        <v>44610</v>
      </c>
      <c r="E16" t="s">
        <v>40</v>
      </c>
      <c r="F16" t="s">
        <v>35</v>
      </c>
      <c r="G16" s="2">
        <v>5000</v>
      </c>
      <c r="H16" s="3">
        <v>54.5</v>
      </c>
      <c r="I16">
        <v>48.45</v>
      </c>
      <c r="J16">
        <v>22</v>
      </c>
      <c r="K16" t="s">
        <v>16</v>
      </c>
      <c r="L16" s="3">
        <f t="shared" si="0"/>
        <v>242250</v>
      </c>
    </row>
    <row r="17" spans="1:12">
      <c r="A17" t="s">
        <v>43</v>
      </c>
      <c r="B17" t="s">
        <v>38</v>
      </c>
      <c r="C17" s="1">
        <v>44657</v>
      </c>
      <c r="D17" s="1">
        <v>44672</v>
      </c>
      <c r="E17" t="s">
        <v>24</v>
      </c>
      <c r="F17" t="s">
        <v>19</v>
      </c>
      <c r="G17" s="2">
        <v>5000</v>
      </c>
      <c r="H17" s="3">
        <v>15.41</v>
      </c>
      <c r="I17">
        <v>15.12</v>
      </c>
      <c r="K17" t="s">
        <v>16</v>
      </c>
      <c r="L17" s="3">
        <f t="shared" si="0"/>
        <v>75600</v>
      </c>
    </row>
    <row r="18" spans="1:12">
      <c r="A18" t="s">
        <v>44</v>
      </c>
      <c r="B18" t="s">
        <v>18</v>
      </c>
      <c r="C18" s="1">
        <v>44785</v>
      </c>
      <c r="D18" s="1">
        <v>44804</v>
      </c>
      <c r="E18" t="s">
        <v>22</v>
      </c>
      <c r="F18" t="s">
        <v>19</v>
      </c>
      <c r="G18" s="2">
        <v>1173</v>
      </c>
      <c r="H18" s="3">
        <v>61.54</v>
      </c>
      <c r="I18">
        <v>55.49</v>
      </c>
      <c r="J18">
        <v>172</v>
      </c>
      <c r="K18" t="s">
        <v>27</v>
      </c>
      <c r="L18" s="3">
        <f t="shared" si="0"/>
        <v>65089.770000000004</v>
      </c>
    </row>
    <row r="19" spans="1:12">
      <c r="A19" t="s">
        <v>45</v>
      </c>
      <c r="B19" t="s">
        <v>29</v>
      </c>
      <c r="C19" s="1">
        <v>44800</v>
      </c>
      <c r="D19" s="1">
        <v>44808</v>
      </c>
      <c r="E19" t="s">
        <v>26</v>
      </c>
      <c r="F19" t="s">
        <v>19</v>
      </c>
      <c r="G19">
        <v>921</v>
      </c>
      <c r="H19" s="3">
        <v>51.48</v>
      </c>
      <c r="I19">
        <v>50.61</v>
      </c>
      <c r="K19" t="s">
        <v>16</v>
      </c>
      <c r="L19" s="3">
        <f t="shared" si="0"/>
        <v>46611.81</v>
      </c>
    </row>
    <row r="20" spans="1:12">
      <c r="A20" t="s">
        <v>46</v>
      </c>
      <c r="B20" t="s">
        <v>21</v>
      </c>
      <c r="C20" s="1">
        <v>45079</v>
      </c>
      <c r="D20" s="1">
        <v>45082</v>
      </c>
      <c r="E20" t="s">
        <v>26</v>
      </c>
      <c r="F20" t="s">
        <v>33</v>
      </c>
      <c r="G20" s="2">
        <v>1737</v>
      </c>
      <c r="H20" s="3">
        <v>97.53</v>
      </c>
      <c r="I20">
        <v>87.37</v>
      </c>
      <c r="J20">
        <v>79</v>
      </c>
      <c r="K20" t="s">
        <v>16</v>
      </c>
      <c r="L20" s="3">
        <f t="shared" si="0"/>
        <v>151761.69</v>
      </c>
    </row>
    <row r="21" spans="1:12">
      <c r="A21" t="s">
        <v>47</v>
      </c>
      <c r="B21" t="s">
        <v>18</v>
      </c>
      <c r="C21" s="1">
        <v>45178</v>
      </c>
      <c r="D21" s="1">
        <v>45193</v>
      </c>
      <c r="E21" t="s">
        <v>26</v>
      </c>
      <c r="F21" t="s">
        <v>19</v>
      </c>
      <c r="G21">
        <v>180</v>
      </c>
      <c r="H21" s="3">
        <v>45.74</v>
      </c>
      <c r="I21">
        <v>38.89</v>
      </c>
      <c r="K21" t="s">
        <v>27</v>
      </c>
      <c r="L21" s="3">
        <f t="shared" si="0"/>
        <v>7000.2</v>
      </c>
    </row>
    <row r="22" spans="1:12">
      <c r="A22" t="s">
        <v>48</v>
      </c>
      <c r="B22" t="s">
        <v>29</v>
      </c>
      <c r="C22" s="1">
        <v>44589</v>
      </c>
      <c r="D22" s="1">
        <v>44604</v>
      </c>
      <c r="E22" t="s">
        <v>40</v>
      </c>
      <c r="F22" t="s">
        <v>15</v>
      </c>
      <c r="G22" s="2">
        <v>1735</v>
      </c>
      <c r="H22" s="3">
        <v>20.54</v>
      </c>
      <c r="I22">
        <v>19.690000000000001</v>
      </c>
      <c r="J22">
        <v>49</v>
      </c>
      <c r="K22" t="s">
        <v>16</v>
      </c>
      <c r="L22" s="3">
        <f t="shared" si="0"/>
        <v>34162.15</v>
      </c>
    </row>
    <row r="23" spans="1:12">
      <c r="A23" t="s">
        <v>49</v>
      </c>
      <c r="B23" t="s">
        <v>18</v>
      </c>
      <c r="C23" s="1">
        <v>45136</v>
      </c>
      <c r="D23" s="1">
        <v>45149</v>
      </c>
      <c r="E23" t="s">
        <v>26</v>
      </c>
      <c r="F23" t="s">
        <v>19</v>
      </c>
      <c r="G23" s="2">
        <v>1382</v>
      </c>
      <c r="H23" s="3">
        <v>24.93</v>
      </c>
      <c r="I23">
        <v>23.75</v>
      </c>
      <c r="K23" t="s">
        <v>16</v>
      </c>
      <c r="L23" s="3">
        <f t="shared" si="0"/>
        <v>32822.5</v>
      </c>
    </row>
    <row r="24" spans="1:12">
      <c r="A24" t="s">
        <v>50</v>
      </c>
      <c r="B24" t="s">
        <v>29</v>
      </c>
      <c r="C24" s="1">
        <v>44765</v>
      </c>
      <c r="D24" s="1">
        <v>44781</v>
      </c>
      <c r="E24" t="s">
        <v>22</v>
      </c>
      <c r="F24" t="s">
        <v>19</v>
      </c>
      <c r="G24">
        <v>819</v>
      </c>
      <c r="H24" s="3">
        <v>80.89</v>
      </c>
      <c r="I24">
        <v>77.03</v>
      </c>
      <c r="J24">
        <v>29</v>
      </c>
      <c r="K24" t="s">
        <v>16</v>
      </c>
      <c r="L24" s="3">
        <f t="shared" si="0"/>
        <v>63087.57</v>
      </c>
    </row>
    <row r="25" spans="1:12">
      <c r="A25" t="s">
        <v>51</v>
      </c>
      <c r="B25" t="s">
        <v>38</v>
      </c>
      <c r="C25" s="1">
        <v>45227</v>
      </c>
      <c r="D25" s="1">
        <v>45233</v>
      </c>
      <c r="E25" t="s">
        <v>14</v>
      </c>
      <c r="F25" t="s">
        <v>33</v>
      </c>
      <c r="G25">
        <v>393</v>
      </c>
      <c r="H25" s="3">
        <v>72.53</v>
      </c>
      <c r="I25">
        <v>66.31</v>
      </c>
      <c r="J25">
        <v>42</v>
      </c>
      <c r="K25" t="s">
        <v>27</v>
      </c>
      <c r="L25" s="3">
        <f t="shared" si="0"/>
        <v>26059.83</v>
      </c>
    </row>
    <row r="26" spans="1:12">
      <c r="A26" t="s">
        <v>52</v>
      </c>
      <c r="B26" t="s">
        <v>38</v>
      </c>
      <c r="C26" s="1">
        <v>45280</v>
      </c>
      <c r="D26" s="1">
        <v>45292</v>
      </c>
      <c r="E26" t="s">
        <v>22</v>
      </c>
      <c r="F26" t="s">
        <v>19</v>
      </c>
      <c r="G26" s="2">
        <v>1565</v>
      </c>
      <c r="H26" s="3">
        <v>21.3</v>
      </c>
      <c r="I26">
        <v>20.09</v>
      </c>
      <c r="J26">
        <v>161</v>
      </c>
      <c r="K26" t="s">
        <v>16</v>
      </c>
      <c r="L26" s="3">
        <f t="shared" si="0"/>
        <v>31440.85</v>
      </c>
    </row>
    <row r="27" spans="1:12">
      <c r="A27" t="s">
        <v>53</v>
      </c>
      <c r="B27" t="s">
        <v>29</v>
      </c>
      <c r="C27" s="1">
        <v>45120</v>
      </c>
      <c r="D27" s="1">
        <v>45131</v>
      </c>
      <c r="E27" t="s">
        <v>24</v>
      </c>
      <c r="F27" t="s">
        <v>19</v>
      </c>
      <c r="G27" s="2">
        <v>1487</v>
      </c>
      <c r="H27" s="3">
        <v>19.149999999999999</v>
      </c>
      <c r="I27">
        <v>17.239999999999998</v>
      </c>
      <c r="K27" t="s">
        <v>16</v>
      </c>
      <c r="L27" s="3">
        <f t="shared" si="0"/>
        <v>25635.879999999997</v>
      </c>
    </row>
    <row r="28" spans="1:12">
      <c r="A28" t="s">
        <v>54</v>
      </c>
      <c r="B28" t="s">
        <v>13</v>
      </c>
      <c r="C28" s="1">
        <v>44991</v>
      </c>
      <c r="D28" s="1">
        <v>45011</v>
      </c>
      <c r="E28" t="s">
        <v>22</v>
      </c>
      <c r="F28" t="s">
        <v>19</v>
      </c>
      <c r="G28">
        <v>855</v>
      </c>
      <c r="H28" s="3">
        <v>78.2</v>
      </c>
      <c r="I28">
        <v>67.16</v>
      </c>
      <c r="J28">
        <v>17</v>
      </c>
      <c r="K28" t="s">
        <v>16</v>
      </c>
      <c r="L28" s="3">
        <f t="shared" si="0"/>
        <v>57421.799999999996</v>
      </c>
    </row>
    <row r="29" spans="1:12">
      <c r="A29" t="s">
        <v>55</v>
      </c>
      <c r="B29" t="s">
        <v>29</v>
      </c>
      <c r="C29" s="1">
        <v>44787</v>
      </c>
      <c r="D29" s="1">
        <v>44796</v>
      </c>
      <c r="E29" t="s">
        <v>26</v>
      </c>
      <c r="F29" t="s">
        <v>19</v>
      </c>
      <c r="G29">
        <v>435</v>
      </c>
      <c r="H29" s="3">
        <v>17.13</v>
      </c>
      <c r="I29">
        <v>15.84</v>
      </c>
      <c r="J29">
        <v>8</v>
      </c>
      <c r="K29" t="s">
        <v>16</v>
      </c>
      <c r="L29" s="3">
        <f t="shared" si="0"/>
        <v>6890.4</v>
      </c>
    </row>
    <row r="30" spans="1:12">
      <c r="A30" t="s">
        <v>56</v>
      </c>
      <c r="B30" t="s">
        <v>18</v>
      </c>
      <c r="C30" s="1">
        <v>45021</v>
      </c>
      <c r="D30" s="1">
        <v>45038</v>
      </c>
      <c r="E30" t="s">
        <v>22</v>
      </c>
      <c r="F30" t="s">
        <v>19</v>
      </c>
      <c r="G30" s="2">
        <v>1265</v>
      </c>
      <c r="H30" s="3">
        <v>90.26</v>
      </c>
      <c r="I30">
        <v>79.47</v>
      </c>
      <c r="J30">
        <v>187</v>
      </c>
      <c r="K30" t="s">
        <v>16</v>
      </c>
      <c r="L30" s="3">
        <f t="shared" si="0"/>
        <v>100529.55</v>
      </c>
    </row>
    <row r="31" spans="1:12">
      <c r="A31" t="s">
        <v>57</v>
      </c>
      <c r="B31" t="s">
        <v>29</v>
      </c>
      <c r="C31" s="1">
        <v>45165</v>
      </c>
      <c r="E31" t="s">
        <v>22</v>
      </c>
      <c r="F31" t="s">
        <v>19</v>
      </c>
      <c r="G31" s="2">
        <v>1005</v>
      </c>
      <c r="H31" s="3">
        <v>80.55</v>
      </c>
      <c r="I31">
        <v>73.31</v>
      </c>
      <c r="J31">
        <v>30</v>
      </c>
      <c r="K31" t="s">
        <v>16</v>
      </c>
      <c r="L31" s="3">
        <f t="shared" si="0"/>
        <v>73676.55</v>
      </c>
    </row>
    <row r="32" spans="1:12">
      <c r="A32" t="s">
        <v>58</v>
      </c>
      <c r="B32" t="s">
        <v>21</v>
      </c>
      <c r="C32" s="1">
        <v>44846</v>
      </c>
      <c r="D32" s="1">
        <v>44860</v>
      </c>
      <c r="E32" t="s">
        <v>40</v>
      </c>
      <c r="F32" t="s">
        <v>19</v>
      </c>
      <c r="G32">
        <v>326</v>
      </c>
      <c r="H32" s="3">
        <v>18.100000000000001</v>
      </c>
      <c r="I32">
        <v>15.92</v>
      </c>
      <c r="K32" t="s">
        <v>27</v>
      </c>
      <c r="L32" s="3">
        <f t="shared" si="0"/>
        <v>5189.92</v>
      </c>
    </row>
    <row r="33" spans="1:12">
      <c r="A33" t="s">
        <v>59</v>
      </c>
      <c r="B33" t="s">
        <v>13</v>
      </c>
      <c r="C33" s="1">
        <v>44568</v>
      </c>
      <c r="D33" s="1">
        <v>44576</v>
      </c>
      <c r="E33" t="s">
        <v>14</v>
      </c>
      <c r="F33" t="s">
        <v>19</v>
      </c>
      <c r="G33" s="2">
        <v>1234</v>
      </c>
      <c r="H33" s="3">
        <v>17.64</v>
      </c>
      <c r="I33">
        <v>15.66</v>
      </c>
      <c r="J33">
        <v>26</v>
      </c>
      <c r="K33" t="s">
        <v>16</v>
      </c>
      <c r="L33" s="3">
        <f t="shared" si="0"/>
        <v>19324.439999999999</v>
      </c>
    </row>
    <row r="34" spans="1:12">
      <c r="A34" t="s">
        <v>60</v>
      </c>
      <c r="B34" t="s">
        <v>29</v>
      </c>
      <c r="C34" s="1">
        <v>44725</v>
      </c>
      <c r="D34" s="1">
        <v>44741</v>
      </c>
      <c r="E34" t="s">
        <v>22</v>
      </c>
      <c r="F34" t="s">
        <v>19</v>
      </c>
      <c r="G34">
        <v>509</v>
      </c>
      <c r="H34" s="3">
        <v>101.27</v>
      </c>
      <c r="I34">
        <v>97.82</v>
      </c>
      <c r="J34">
        <v>19</v>
      </c>
      <c r="K34" t="s">
        <v>16</v>
      </c>
      <c r="L34" s="3">
        <f t="shared" si="0"/>
        <v>49790.38</v>
      </c>
    </row>
    <row r="35" spans="1:12">
      <c r="A35" t="s">
        <v>61</v>
      </c>
      <c r="B35" t="s">
        <v>13</v>
      </c>
      <c r="C35" s="1">
        <v>45276</v>
      </c>
      <c r="D35" s="1">
        <v>45277</v>
      </c>
      <c r="E35" t="s">
        <v>24</v>
      </c>
      <c r="F35" t="s">
        <v>19</v>
      </c>
      <c r="G35" s="2">
        <v>1387</v>
      </c>
      <c r="H35" s="3">
        <v>48.71</v>
      </c>
      <c r="I35">
        <v>43.71</v>
      </c>
      <c r="J35">
        <v>27</v>
      </c>
      <c r="K35" t="s">
        <v>16</v>
      </c>
      <c r="L35" s="3">
        <f t="shared" si="0"/>
        <v>60625.770000000004</v>
      </c>
    </row>
    <row r="36" spans="1:12">
      <c r="A36" t="s">
        <v>62</v>
      </c>
      <c r="B36" t="s">
        <v>13</v>
      </c>
      <c r="C36" s="1">
        <v>44994</v>
      </c>
      <c r="D36" s="1">
        <v>45002</v>
      </c>
      <c r="E36" t="s">
        <v>22</v>
      </c>
      <c r="F36" t="s">
        <v>19</v>
      </c>
      <c r="G36">
        <v>71</v>
      </c>
      <c r="H36" s="3">
        <v>46.39</v>
      </c>
      <c r="I36">
        <v>43.18</v>
      </c>
      <c r="J36">
        <v>0</v>
      </c>
      <c r="K36" t="s">
        <v>16</v>
      </c>
      <c r="L36" s="3">
        <f t="shared" si="0"/>
        <v>3065.78</v>
      </c>
    </row>
    <row r="37" spans="1:12">
      <c r="A37" t="s">
        <v>63</v>
      </c>
      <c r="B37" t="s">
        <v>29</v>
      </c>
      <c r="C37" s="1">
        <v>44910</v>
      </c>
      <c r="D37" s="1">
        <v>44918</v>
      </c>
      <c r="E37" t="s">
        <v>14</v>
      </c>
      <c r="F37" t="s">
        <v>19</v>
      </c>
      <c r="G37">
        <v>302</v>
      </c>
      <c r="H37" s="3">
        <v>87.73</v>
      </c>
      <c r="I37">
        <v>81.52</v>
      </c>
      <c r="J37">
        <v>9</v>
      </c>
      <c r="K37" t="s">
        <v>16</v>
      </c>
      <c r="L37" s="3">
        <f t="shared" si="0"/>
        <v>24619.039999999997</v>
      </c>
    </row>
    <row r="38" spans="1:12">
      <c r="A38" t="s">
        <v>64</v>
      </c>
      <c r="B38" t="s">
        <v>29</v>
      </c>
      <c r="C38" s="1">
        <v>44846</v>
      </c>
      <c r="D38" s="1">
        <v>44865</v>
      </c>
      <c r="E38" t="s">
        <v>14</v>
      </c>
      <c r="F38" t="s">
        <v>35</v>
      </c>
      <c r="G38">
        <v>797</v>
      </c>
      <c r="H38" s="3">
        <v>99.54</v>
      </c>
      <c r="I38">
        <v>91.37</v>
      </c>
      <c r="J38">
        <v>18</v>
      </c>
      <c r="K38" t="s">
        <v>16</v>
      </c>
      <c r="L38" s="3">
        <f t="shared" si="0"/>
        <v>72821.89</v>
      </c>
    </row>
    <row r="39" spans="1:12">
      <c r="A39" t="s">
        <v>65</v>
      </c>
      <c r="B39" t="s">
        <v>38</v>
      </c>
      <c r="C39" s="1">
        <v>44721</v>
      </c>
      <c r="D39" s="1">
        <v>44739</v>
      </c>
      <c r="E39" t="s">
        <v>14</v>
      </c>
      <c r="F39" t="s">
        <v>35</v>
      </c>
      <c r="G39">
        <v>906</v>
      </c>
      <c r="H39" s="3">
        <v>101.21</v>
      </c>
      <c r="I39">
        <v>90.9</v>
      </c>
      <c r="J39">
        <v>94</v>
      </c>
      <c r="K39" t="s">
        <v>16</v>
      </c>
      <c r="L39" s="3">
        <f t="shared" si="0"/>
        <v>82355.400000000009</v>
      </c>
    </row>
    <row r="40" spans="1:12">
      <c r="A40" t="s">
        <v>66</v>
      </c>
      <c r="B40" t="s">
        <v>29</v>
      </c>
      <c r="C40" s="1">
        <v>44782</v>
      </c>
      <c r="D40" s="1">
        <v>44796</v>
      </c>
      <c r="E40" t="s">
        <v>14</v>
      </c>
      <c r="F40" t="s">
        <v>19</v>
      </c>
      <c r="G40" s="2">
        <v>1634</v>
      </c>
      <c r="H40" s="3">
        <v>80.53</v>
      </c>
      <c r="I40">
        <v>76.150000000000006</v>
      </c>
      <c r="J40">
        <v>50</v>
      </c>
      <c r="K40" t="s">
        <v>16</v>
      </c>
      <c r="L40" s="3">
        <f t="shared" si="0"/>
        <v>124429.1</v>
      </c>
    </row>
    <row r="41" spans="1:12">
      <c r="A41" t="s">
        <v>67</v>
      </c>
      <c r="B41" t="s">
        <v>29</v>
      </c>
      <c r="C41" s="1">
        <v>44906</v>
      </c>
      <c r="E41" t="s">
        <v>14</v>
      </c>
      <c r="F41" t="s">
        <v>19</v>
      </c>
      <c r="G41">
        <v>524</v>
      </c>
      <c r="H41" s="3">
        <v>46.28</v>
      </c>
      <c r="I41">
        <v>39.65</v>
      </c>
      <c r="J41">
        <v>14</v>
      </c>
      <c r="K41" t="s">
        <v>16</v>
      </c>
      <c r="L41" s="3">
        <f t="shared" si="0"/>
        <v>20776.599999999999</v>
      </c>
    </row>
    <row r="42" spans="1:12">
      <c r="A42" t="s">
        <v>68</v>
      </c>
      <c r="B42" t="s">
        <v>38</v>
      </c>
      <c r="C42" s="1">
        <v>44666</v>
      </c>
      <c r="D42" s="1">
        <v>44678</v>
      </c>
      <c r="E42" t="s">
        <v>40</v>
      </c>
      <c r="F42" t="s">
        <v>19</v>
      </c>
      <c r="G42" s="2">
        <v>1132</v>
      </c>
      <c r="H42" s="3">
        <v>17.78</v>
      </c>
      <c r="I42">
        <v>15.36</v>
      </c>
      <c r="J42">
        <v>96</v>
      </c>
      <c r="K42" t="s">
        <v>16</v>
      </c>
      <c r="L42" s="3">
        <f t="shared" si="0"/>
        <v>17387.52</v>
      </c>
    </row>
    <row r="43" spans="1:12">
      <c r="A43" t="s">
        <v>69</v>
      </c>
      <c r="B43" t="s">
        <v>38</v>
      </c>
      <c r="C43" s="1">
        <v>44656</v>
      </c>
      <c r="D43" s="1">
        <v>44665</v>
      </c>
      <c r="E43" t="s">
        <v>14</v>
      </c>
      <c r="F43" t="s">
        <v>19</v>
      </c>
      <c r="G43">
        <v>560</v>
      </c>
      <c r="H43" s="3">
        <v>81.14</v>
      </c>
      <c r="I43">
        <v>77.87</v>
      </c>
      <c r="J43">
        <v>34</v>
      </c>
      <c r="K43" t="s">
        <v>27</v>
      </c>
      <c r="L43" s="3">
        <f t="shared" si="0"/>
        <v>43607.200000000004</v>
      </c>
    </row>
    <row r="44" spans="1:12">
      <c r="A44" t="s">
        <v>70</v>
      </c>
      <c r="B44" t="s">
        <v>21</v>
      </c>
      <c r="C44" s="1">
        <v>44951</v>
      </c>
      <c r="D44" s="1">
        <v>44959</v>
      </c>
      <c r="E44" t="s">
        <v>40</v>
      </c>
      <c r="F44" t="s">
        <v>19</v>
      </c>
      <c r="G44" s="2">
        <v>1755</v>
      </c>
      <c r="H44" s="3">
        <v>63.87</v>
      </c>
      <c r="I44">
        <v>58.4</v>
      </c>
      <c r="J44">
        <v>85</v>
      </c>
      <c r="K44" t="s">
        <v>16</v>
      </c>
      <c r="L44" s="3">
        <f t="shared" si="0"/>
        <v>102492</v>
      </c>
    </row>
    <row r="45" spans="1:12">
      <c r="A45" t="s">
        <v>71</v>
      </c>
      <c r="B45" t="s">
        <v>29</v>
      </c>
      <c r="C45" s="1">
        <v>44661</v>
      </c>
      <c r="D45" s="1">
        <v>44668</v>
      </c>
      <c r="E45" t="s">
        <v>22</v>
      </c>
      <c r="F45" t="s">
        <v>19</v>
      </c>
      <c r="G45" s="2">
        <v>1549</v>
      </c>
      <c r="H45" s="3">
        <v>48.9</v>
      </c>
      <c r="I45">
        <v>42.42</v>
      </c>
      <c r="J45">
        <v>48</v>
      </c>
      <c r="K45" t="s">
        <v>16</v>
      </c>
      <c r="L45" s="3">
        <f t="shared" si="0"/>
        <v>65708.58</v>
      </c>
    </row>
    <row r="46" spans="1:12">
      <c r="A46" t="s">
        <v>72</v>
      </c>
      <c r="B46" t="s">
        <v>18</v>
      </c>
      <c r="C46" s="1">
        <v>44929</v>
      </c>
      <c r="D46" s="1">
        <v>44947</v>
      </c>
      <c r="E46" t="s">
        <v>22</v>
      </c>
      <c r="F46" t="s">
        <v>19</v>
      </c>
      <c r="G46">
        <v>749</v>
      </c>
      <c r="H46" s="3">
        <v>97.07</v>
      </c>
      <c r="I46">
        <v>94.16</v>
      </c>
      <c r="J46">
        <v>123</v>
      </c>
      <c r="K46" t="s">
        <v>16</v>
      </c>
      <c r="L46" s="3">
        <f t="shared" si="0"/>
        <v>70525.84</v>
      </c>
    </row>
    <row r="47" spans="1:12">
      <c r="A47" t="s">
        <v>73</v>
      </c>
      <c r="B47" t="s">
        <v>13</v>
      </c>
      <c r="C47" s="1">
        <v>44914</v>
      </c>
      <c r="E47" t="s">
        <v>40</v>
      </c>
      <c r="F47" t="s">
        <v>19</v>
      </c>
      <c r="G47" s="2">
        <v>1025</v>
      </c>
      <c r="H47" s="3">
        <v>21.11</v>
      </c>
      <c r="I47">
        <v>19.25</v>
      </c>
      <c r="J47">
        <v>15</v>
      </c>
      <c r="K47" t="s">
        <v>16</v>
      </c>
      <c r="L47" s="3">
        <f t="shared" si="0"/>
        <v>19731.25</v>
      </c>
    </row>
    <row r="48" spans="1:12">
      <c r="A48" t="s">
        <v>74</v>
      </c>
      <c r="B48" t="s">
        <v>38</v>
      </c>
      <c r="C48" s="1">
        <v>45180</v>
      </c>
      <c r="D48" s="1">
        <v>45187</v>
      </c>
      <c r="E48" t="s">
        <v>26</v>
      </c>
      <c r="F48" t="s">
        <v>19</v>
      </c>
      <c r="G48" s="2">
        <v>1856</v>
      </c>
      <c r="H48" s="3">
        <v>59.77</v>
      </c>
      <c r="I48">
        <v>50.81</v>
      </c>
      <c r="J48">
        <v>191</v>
      </c>
      <c r="K48" t="s">
        <v>16</v>
      </c>
      <c r="L48" s="3">
        <f t="shared" si="0"/>
        <v>94303.360000000001</v>
      </c>
    </row>
    <row r="49" spans="1:12">
      <c r="A49" t="s">
        <v>75</v>
      </c>
      <c r="B49" t="s">
        <v>29</v>
      </c>
      <c r="C49" s="1">
        <v>44832</v>
      </c>
      <c r="D49" s="1">
        <v>44848</v>
      </c>
      <c r="E49" t="s">
        <v>14</v>
      </c>
      <c r="F49" t="s">
        <v>19</v>
      </c>
      <c r="G49">
        <v>239</v>
      </c>
      <c r="H49" s="3">
        <v>11.46</v>
      </c>
      <c r="I49">
        <v>11.28</v>
      </c>
      <c r="J49">
        <v>4</v>
      </c>
      <c r="K49" t="s">
        <v>16</v>
      </c>
      <c r="L49" s="3">
        <f t="shared" si="0"/>
        <v>2695.92</v>
      </c>
    </row>
    <row r="50" spans="1:12">
      <c r="A50" t="s">
        <v>76</v>
      </c>
      <c r="B50" t="s">
        <v>18</v>
      </c>
      <c r="C50" s="1">
        <v>44606</v>
      </c>
      <c r="D50" s="1">
        <v>44625</v>
      </c>
      <c r="E50" t="s">
        <v>14</v>
      </c>
      <c r="F50" t="s">
        <v>35</v>
      </c>
      <c r="G50" s="2">
        <v>1007</v>
      </c>
      <c r="H50" s="3">
        <v>52.44</v>
      </c>
      <c r="I50">
        <v>46.06</v>
      </c>
      <c r="J50">
        <v>167</v>
      </c>
      <c r="K50" t="s">
        <v>16</v>
      </c>
      <c r="L50" s="3">
        <f t="shared" si="0"/>
        <v>46382.420000000006</v>
      </c>
    </row>
    <row r="51" spans="1:12">
      <c r="A51" t="s">
        <v>77</v>
      </c>
      <c r="B51" t="s">
        <v>13</v>
      </c>
      <c r="C51" s="1">
        <v>45032</v>
      </c>
      <c r="E51" t="s">
        <v>22</v>
      </c>
      <c r="F51" t="s">
        <v>35</v>
      </c>
      <c r="G51">
        <v>736</v>
      </c>
      <c r="H51" s="3">
        <v>16.2</v>
      </c>
      <c r="I51">
        <v>15.33</v>
      </c>
      <c r="J51">
        <v>18</v>
      </c>
      <c r="K51" t="s">
        <v>16</v>
      </c>
      <c r="L51" s="3">
        <f t="shared" si="0"/>
        <v>11282.88</v>
      </c>
    </row>
    <row r="52" spans="1:12">
      <c r="A52" t="s">
        <v>78</v>
      </c>
      <c r="B52" t="s">
        <v>29</v>
      </c>
      <c r="C52" s="1">
        <v>45111</v>
      </c>
      <c r="D52" s="1">
        <v>45121</v>
      </c>
      <c r="E52" t="s">
        <v>40</v>
      </c>
      <c r="F52" t="s">
        <v>19</v>
      </c>
      <c r="G52" s="2">
        <v>1007</v>
      </c>
      <c r="H52" s="3">
        <v>22.56</v>
      </c>
      <c r="I52">
        <v>19.59</v>
      </c>
      <c r="K52" t="s">
        <v>16</v>
      </c>
      <c r="L52" s="3">
        <f t="shared" si="0"/>
        <v>19727.13</v>
      </c>
    </row>
    <row r="53" spans="1:12">
      <c r="A53" t="s">
        <v>79</v>
      </c>
      <c r="B53" t="s">
        <v>18</v>
      </c>
      <c r="C53" s="1">
        <v>44689</v>
      </c>
      <c r="E53" t="s">
        <v>14</v>
      </c>
      <c r="F53" t="s">
        <v>19</v>
      </c>
      <c r="G53">
        <v>612</v>
      </c>
      <c r="H53" s="3">
        <v>20.99</v>
      </c>
      <c r="I53">
        <v>19.75</v>
      </c>
      <c r="J53">
        <v>102</v>
      </c>
      <c r="K53" t="s">
        <v>16</v>
      </c>
      <c r="L53" s="3">
        <f t="shared" si="0"/>
        <v>12087</v>
      </c>
    </row>
    <row r="54" spans="1:12">
      <c r="A54" t="s">
        <v>80</v>
      </c>
      <c r="B54" t="s">
        <v>13</v>
      </c>
      <c r="C54" s="1">
        <v>44949</v>
      </c>
      <c r="D54" s="1">
        <v>44959</v>
      </c>
      <c r="E54" t="s">
        <v>22</v>
      </c>
      <c r="F54" t="s">
        <v>35</v>
      </c>
      <c r="G54" s="2">
        <v>1949</v>
      </c>
      <c r="H54" s="3">
        <v>72.53</v>
      </c>
      <c r="I54">
        <v>63.26</v>
      </c>
      <c r="J54">
        <v>48</v>
      </c>
      <c r="K54" t="s">
        <v>27</v>
      </c>
      <c r="L54" s="3">
        <f t="shared" si="0"/>
        <v>123293.73999999999</v>
      </c>
    </row>
    <row r="55" spans="1:12">
      <c r="A55" t="s">
        <v>81</v>
      </c>
      <c r="B55" t="s">
        <v>18</v>
      </c>
      <c r="C55" s="1">
        <v>44642</v>
      </c>
      <c r="D55" s="1">
        <v>44648</v>
      </c>
      <c r="E55" t="s">
        <v>14</v>
      </c>
      <c r="F55" t="s">
        <v>15</v>
      </c>
      <c r="G55" s="2">
        <v>1640</v>
      </c>
      <c r="H55" s="3">
        <v>77.92</v>
      </c>
      <c r="I55">
        <v>76.41</v>
      </c>
      <c r="J55">
        <v>262</v>
      </c>
      <c r="K55" t="s">
        <v>27</v>
      </c>
      <c r="L55" s="3">
        <f t="shared" si="0"/>
        <v>125312.4</v>
      </c>
    </row>
    <row r="56" spans="1:12">
      <c r="A56" t="s">
        <v>82</v>
      </c>
      <c r="B56" t="s">
        <v>38</v>
      </c>
      <c r="C56" s="1">
        <v>45127</v>
      </c>
      <c r="D56" s="1">
        <v>45145</v>
      </c>
      <c r="E56" t="s">
        <v>40</v>
      </c>
      <c r="F56" t="s">
        <v>19</v>
      </c>
      <c r="G56" s="2">
        <v>1317</v>
      </c>
      <c r="H56" s="3">
        <v>68.13</v>
      </c>
      <c r="I56">
        <v>60.52</v>
      </c>
      <c r="J56">
        <v>136</v>
      </c>
      <c r="K56" t="s">
        <v>16</v>
      </c>
      <c r="L56" s="3">
        <f t="shared" si="0"/>
        <v>79704.840000000011</v>
      </c>
    </row>
    <row r="57" spans="1:12">
      <c r="A57" t="s">
        <v>83</v>
      </c>
      <c r="B57" t="s">
        <v>29</v>
      </c>
      <c r="C57" s="1">
        <v>44862</v>
      </c>
      <c r="D57" s="1">
        <v>44864</v>
      </c>
      <c r="E57" t="s">
        <v>26</v>
      </c>
      <c r="F57" t="s">
        <v>19</v>
      </c>
      <c r="G57">
        <v>881</v>
      </c>
      <c r="H57" s="3">
        <v>100.94</v>
      </c>
      <c r="I57">
        <v>95.05</v>
      </c>
      <c r="J57">
        <v>30</v>
      </c>
      <c r="K57" t="s">
        <v>16</v>
      </c>
      <c r="L57" s="3">
        <f t="shared" si="0"/>
        <v>83739.05</v>
      </c>
    </row>
    <row r="58" spans="1:12">
      <c r="A58" t="s">
        <v>84</v>
      </c>
      <c r="B58" t="s">
        <v>18</v>
      </c>
      <c r="C58" s="1">
        <v>45205</v>
      </c>
      <c r="E58" t="s">
        <v>24</v>
      </c>
      <c r="F58" t="s">
        <v>19</v>
      </c>
      <c r="G58" s="2">
        <v>1578</v>
      </c>
      <c r="H58" s="3">
        <v>48.33</v>
      </c>
      <c r="I58">
        <v>42.77</v>
      </c>
      <c r="J58">
        <v>206</v>
      </c>
      <c r="K58" t="s">
        <v>16</v>
      </c>
      <c r="L58" s="3">
        <f t="shared" si="0"/>
        <v>67491.06</v>
      </c>
    </row>
    <row r="59" spans="1:12">
      <c r="A59" t="s">
        <v>85</v>
      </c>
      <c r="B59" t="s">
        <v>18</v>
      </c>
      <c r="C59" s="1">
        <v>45195</v>
      </c>
      <c r="D59" s="1">
        <v>45200</v>
      </c>
      <c r="E59" t="s">
        <v>22</v>
      </c>
      <c r="F59" t="s">
        <v>19</v>
      </c>
      <c r="G59" s="2">
        <v>1204</v>
      </c>
      <c r="H59" s="3">
        <v>39.29</v>
      </c>
      <c r="I59">
        <v>35.44</v>
      </c>
      <c r="K59" t="s">
        <v>16</v>
      </c>
      <c r="L59" s="3">
        <f t="shared" si="0"/>
        <v>42669.759999999995</v>
      </c>
    </row>
    <row r="60" spans="1:12">
      <c r="A60" t="s">
        <v>86</v>
      </c>
      <c r="B60" t="s">
        <v>29</v>
      </c>
      <c r="C60" s="1">
        <v>44932</v>
      </c>
      <c r="D60" s="1">
        <v>44948</v>
      </c>
      <c r="E60" t="s">
        <v>22</v>
      </c>
      <c r="F60" t="s">
        <v>35</v>
      </c>
      <c r="G60" s="2">
        <v>1558</v>
      </c>
      <c r="H60" s="3">
        <v>93.46</v>
      </c>
      <c r="I60">
        <v>91.27</v>
      </c>
      <c r="J60">
        <v>39</v>
      </c>
      <c r="K60" t="s">
        <v>16</v>
      </c>
      <c r="L60" s="3">
        <f t="shared" si="0"/>
        <v>142198.66</v>
      </c>
    </row>
    <row r="61" spans="1:12">
      <c r="A61" t="s">
        <v>87</v>
      </c>
      <c r="B61" t="s">
        <v>13</v>
      </c>
      <c r="C61" s="1">
        <v>45153</v>
      </c>
      <c r="D61" s="1">
        <v>45154</v>
      </c>
      <c r="E61" t="s">
        <v>24</v>
      </c>
      <c r="F61" t="s">
        <v>19</v>
      </c>
      <c r="G61" s="2">
        <v>1892</v>
      </c>
      <c r="H61" s="3">
        <v>32.99</v>
      </c>
      <c r="I61">
        <v>28.81</v>
      </c>
      <c r="J61">
        <v>35</v>
      </c>
      <c r="K61" t="s">
        <v>16</v>
      </c>
      <c r="L61" s="3">
        <f t="shared" si="0"/>
        <v>54508.52</v>
      </c>
    </row>
    <row r="62" spans="1:12">
      <c r="A62" t="s">
        <v>88</v>
      </c>
      <c r="B62" t="s">
        <v>29</v>
      </c>
      <c r="C62" s="1">
        <v>44758</v>
      </c>
      <c r="D62" s="1">
        <v>44774</v>
      </c>
      <c r="E62" t="s">
        <v>24</v>
      </c>
      <c r="F62" t="s">
        <v>19</v>
      </c>
      <c r="G62">
        <v>696</v>
      </c>
      <c r="H62" s="3">
        <v>99.59</v>
      </c>
      <c r="I62">
        <v>90.18</v>
      </c>
      <c r="J62">
        <v>25</v>
      </c>
      <c r="K62" t="s">
        <v>16</v>
      </c>
      <c r="L62" s="3">
        <f t="shared" si="0"/>
        <v>62765.280000000006</v>
      </c>
    </row>
    <row r="63" spans="1:12">
      <c r="A63" t="s">
        <v>89</v>
      </c>
      <c r="B63" t="s">
        <v>18</v>
      </c>
      <c r="C63" s="1">
        <v>45283</v>
      </c>
      <c r="D63" s="1">
        <v>45294</v>
      </c>
      <c r="E63" t="s">
        <v>22</v>
      </c>
      <c r="F63" t="s">
        <v>33</v>
      </c>
      <c r="G63">
        <v>70</v>
      </c>
      <c r="H63" s="3">
        <v>12.37</v>
      </c>
      <c r="I63">
        <v>11.04</v>
      </c>
      <c r="J63">
        <v>10</v>
      </c>
      <c r="K63" t="s">
        <v>16</v>
      </c>
      <c r="L63" s="3">
        <f t="shared" si="0"/>
        <v>772.8</v>
      </c>
    </row>
    <row r="64" spans="1:12">
      <c r="A64" t="s">
        <v>90</v>
      </c>
      <c r="B64" t="s">
        <v>21</v>
      </c>
      <c r="C64" s="1">
        <v>44633</v>
      </c>
      <c r="D64" s="1">
        <v>44635</v>
      </c>
      <c r="E64" t="s">
        <v>26</v>
      </c>
      <c r="F64" t="s">
        <v>19</v>
      </c>
      <c r="G64">
        <v>890</v>
      </c>
      <c r="H64" s="3">
        <v>98.26</v>
      </c>
      <c r="I64">
        <v>93.14</v>
      </c>
      <c r="J64">
        <v>49</v>
      </c>
      <c r="K64" t="s">
        <v>16</v>
      </c>
      <c r="L64" s="3">
        <f t="shared" si="0"/>
        <v>82894.600000000006</v>
      </c>
    </row>
    <row r="65" spans="1:12">
      <c r="A65" t="s">
        <v>91</v>
      </c>
      <c r="B65" t="s">
        <v>13</v>
      </c>
      <c r="C65" s="1">
        <v>44608</v>
      </c>
      <c r="D65" s="1">
        <v>44624</v>
      </c>
      <c r="E65" t="s">
        <v>22</v>
      </c>
      <c r="F65" t="s">
        <v>19</v>
      </c>
      <c r="G65">
        <v>216</v>
      </c>
      <c r="H65" s="3">
        <v>13.95</v>
      </c>
      <c r="I65">
        <v>12.31</v>
      </c>
      <c r="J65">
        <v>5</v>
      </c>
      <c r="K65" t="s">
        <v>16</v>
      </c>
      <c r="L65" s="3">
        <f t="shared" si="0"/>
        <v>2658.96</v>
      </c>
    </row>
    <row r="66" spans="1:12">
      <c r="A66" t="s">
        <v>92</v>
      </c>
      <c r="B66" t="s">
        <v>18</v>
      </c>
      <c r="C66" s="1">
        <v>45239</v>
      </c>
      <c r="D66" s="1">
        <v>45242</v>
      </c>
      <c r="E66" t="s">
        <v>24</v>
      </c>
      <c r="F66" t="s">
        <v>19</v>
      </c>
      <c r="G66" s="2">
        <v>1347</v>
      </c>
      <c r="H66" s="3">
        <v>100.13</v>
      </c>
      <c r="I66">
        <v>94.3</v>
      </c>
      <c r="J66">
        <v>200</v>
      </c>
      <c r="K66" t="s">
        <v>16</v>
      </c>
      <c r="L66" s="3">
        <f t="shared" si="0"/>
        <v>127022.09999999999</v>
      </c>
    </row>
    <row r="67" spans="1:12">
      <c r="A67" t="s">
        <v>93</v>
      </c>
      <c r="B67" t="s">
        <v>21</v>
      </c>
      <c r="C67" s="1">
        <v>44795</v>
      </c>
      <c r="D67" s="1">
        <v>44798</v>
      </c>
      <c r="E67" t="s">
        <v>14</v>
      </c>
      <c r="F67" t="s">
        <v>33</v>
      </c>
      <c r="G67">
        <v>437</v>
      </c>
      <c r="H67" s="3">
        <v>59.51</v>
      </c>
      <c r="I67">
        <v>56.45</v>
      </c>
      <c r="J67">
        <v>25</v>
      </c>
      <c r="K67" t="s">
        <v>27</v>
      </c>
      <c r="L67" s="3">
        <f t="shared" ref="L67:L130" si="1">I67*G67</f>
        <v>24668.65</v>
      </c>
    </row>
    <row r="68" spans="1:12">
      <c r="A68" t="s">
        <v>94</v>
      </c>
      <c r="B68" t="s">
        <v>13</v>
      </c>
      <c r="C68" s="1">
        <v>44858</v>
      </c>
      <c r="D68" s="1">
        <v>44860</v>
      </c>
      <c r="E68" t="s">
        <v>40</v>
      </c>
      <c r="F68" t="s">
        <v>19</v>
      </c>
      <c r="G68">
        <v>650</v>
      </c>
      <c r="H68" s="3">
        <v>103.84</v>
      </c>
      <c r="I68">
        <v>88.28</v>
      </c>
      <c r="J68">
        <v>12</v>
      </c>
      <c r="K68" t="s">
        <v>16</v>
      </c>
      <c r="L68" s="3">
        <f t="shared" si="1"/>
        <v>57382</v>
      </c>
    </row>
    <row r="69" spans="1:12">
      <c r="A69" t="s">
        <v>95</v>
      </c>
      <c r="B69" t="s">
        <v>38</v>
      </c>
      <c r="C69" s="1">
        <v>44643</v>
      </c>
      <c r="D69" s="1">
        <v>44662</v>
      </c>
      <c r="E69" t="s">
        <v>14</v>
      </c>
      <c r="F69" t="s">
        <v>19</v>
      </c>
      <c r="G69">
        <v>365</v>
      </c>
      <c r="H69" s="3">
        <v>16.809999999999999</v>
      </c>
      <c r="I69">
        <v>15.41</v>
      </c>
      <c r="J69">
        <v>38</v>
      </c>
      <c r="K69" t="s">
        <v>16</v>
      </c>
      <c r="L69" s="3">
        <f t="shared" si="1"/>
        <v>5624.65</v>
      </c>
    </row>
    <row r="70" spans="1:12">
      <c r="A70" t="s">
        <v>96</v>
      </c>
      <c r="B70" t="s">
        <v>29</v>
      </c>
      <c r="C70" s="1">
        <v>44800</v>
      </c>
      <c r="E70" t="s">
        <v>26</v>
      </c>
      <c r="F70" t="s">
        <v>15</v>
      </c>
      <c r="G70">
        <v>63</v>
      </c>
      <c r="H70" s="3">
        <v>61.94</v>
      </c>
      <c r="I70">
        <v>53.8</v>
      </c>
      <c r="K70" t="s">
        <v>16</v>
      </c>
      <c r="L70" s="3">
        <f t="shared" si="1"/>
        <v>3389.3999999999996</v>
      </c>
    </row>
    <row r="71" spans="1:12">
      <c r="A71" t="s">
        <v>97</v>
      </c>
      <c r="B71" t="s">
        <v>13</v>
      </c>
      <c r="C71" s="1">
        <v>44665</v>
      </c>
      <c r="D71" s="1">
        <v>44673</v>
      </c>
      <c r="E71" t="s">
        <v>22</v>
      </c>
      <c r="F71" t="s">
        <v>19</v>
      </c>
      <c r="G71">
        <v>291</v>
      </c>
      <c r="H71" s="3">
        <v>98.7</v>
      </c>
      <c r="I71">
        <v>87.02</v>
      </c>
      <c r="J71">
        <v>9</v>
      </c>
      <c r="K71" t="s">
        <v>16</v>
      </c>
      <c r="L71" s="3">
        <f t="shared" si="1"/>
        <v>25322.82</v>
      </c>
    </row>
    <row r="72" spans="1:12">
      <c r="A72" t="s">
        <v>98</v>
      </c>
      <c r="B72" t="s">
        <v>13</v>
      </c>
      <c r="C72" s="1">
        <v>44951</v>
      </c>
      <c r="D72" s="1">
        <v>44965</v>
      </c>
      <c r="E72" t="s">
        <v>22</v>
      </c>
      <c r="F72" t="s">
        <v>15</v>
      </c>
      <c r="G72">
        <v>826</v>
      </c>
      <c r="H72" s="3">
        <v>60.5</v>
      </c>
      <c r="I72">
        <v>57.18</v>
      </c>
      <c r="J72">
        <v>18</v>
      </c>
      <c r="K72" t="s">
        <v>16</v>
      </c>
      <c r="L72" s="3">
        <f t="shared" si="1"/>
        <v>47230.68</v>
      </c>
    </row>
    <row r="73" spans="1:12">
      <c r="A73" t="s">
        <v>99</v>
      </c>
      <c r="B73" t="s">
        <v>18</v>
      </c>
      <c r="C73" s="1">
        <v>44846</v>
      </c>
      <c r="D73" s="1">
        <v>44866</v>
      </c>
      <c r="E73" t="s">
        <v>40</v>
      </c>
      <c r="F73" t="s">
        <v>35</v>
      </c>
      <c r="G73" s="2">
        <v>1419</v>
      </c>
      <c r="H73" s="3">
        <v>69.64</v>
      </c>
      <c r="I73">
        <v>59.28</v>
      </c>
      <c r="J73">
        <v>194</v>
      </c>
      <c r="K73" t="s">
        <v>16</v>
      </c>
      <c r="L73" s="3">
        <f t="shared" si="1"/>
        <v>84118.32</v>
      </c>
    </row>
    <row r="74" spans="1:12">
      <c r="A74" t="s">
        <v>100</v>
      </c>
      <c r="B74" t="s">
        <v>21</v>
      </c>
      <c r="C74" s="1">
        <v>45026</v>
      </c>
      <c r="D74" s="1">
        <v>45043</v>
      </c>
      <c r="E74" t="s">
        <v>14</v>
      </c>
      <c r="F74" t="s">
        <v>19</v>
      </c>
      <c r="G74">
        <v>614</v>
      </c>
      <c r="H74" s="3">
        <v>78.06</v>
      </c>
      <c r="I74">
        <v>73.95</v>
      </c>
      <c r="J74">
        <v>40</v>
      </c>
      <c r="K74" t="s">
        <v>16</v>
      </c>
      <c r="L74" s="3">
        <f t="shared" si="1"/>
        <v>45405.3</v>
      </c>
    </row>
    <row r="75" spans="1:12">
      <c r="A75" t="s">
        <v>101</v>
      </c>
      <c r="B75" t="s">
        <v>13</v>
      </c>
      <c r="C75" s="1">
        <v>45212</v>
      </c>
      <c r="D75" s="1">
        <v>45227</v>
      </c>
      <c r="E75" t="s">
        <v>40</v>
      </c>
      <c r="F75" t="s">
        <v>19</v>
      </c>
      <c r="G75">
        <v>947</v>
      </c>
      <c r="H75" s="3">
        <v>56.25</v>
      </c>
      <c r="I75">
        <v>54.25</v>
      </c>
      <c r="J75">
        <v>19</v>
      </c>
      <c r="K75" t="s">
        <v>16</v>
      </c>
      <c r="L75" s="3">
        <f t="shared" si="1"/>
        <v>51374.75</v>
      </c>
    </row>
    <row r="76" spans="1:12">
      <c r="A76" t="s">
        <v>102</v>
      </c>
      <c r="B76" t="s">
        <v>29</v>
      </c>
      <c r="C76" s="1">
        <v>44935</v>
      </c>
      <c r="D76" s="1">
        <v>44954</v>
      </c>
      <c r="E76" t="s">
        <v>26</v>
      </c>
      <c r="F76" t="s">
        <v>19</v>
      </c>
      <c r="G76" s="2">
        <v>1413</v>
      </c>
      <c r="H76" s="3">
        <v>70.47</v>
      </c>
      <c r="I76">
        <v>69.650000000000006</v>
      </c>
      <c r="K76" t="s">
        <v>16</v>
      </c>
      <c r="L76" s="3">
        <f t="shared" si="1"/>
        <v>98415.450000000012</v>
      </c>
    </row>
    <row r="77" spans="1:12">
      <c r="A77" t="s">
        <v>103</v>
      </c>
      <c r="B77" t="s">
        <v>13</v>
      </c>
      <c r="C77" s="1">
        <v>44728</v>
      </c>
      <c r="E77" t="s">
        <v>14</v>
      </c>
      <c r="F77" t="s">
        <v>33</v>
      </c>
      <c r="G77">
        <v>141</v>
      </c>
      <c r="H77" s="3">
        <v>64.150000000000006</v>
      </c>
      <c r="I77">
        <v>58.32</v>
      </c>
      <c r="K77" t="s">
        <v>16</v>
      </c>
      <c r="L77" s="3">
        <f t="shared" si="1"/>
        <v>8223.1200000000008</v>
      </c>
    </row>
    <row r="78" spans="1:12">
      <c r="A78" t="s">
        <v>104</v>
      </c>
      <c r="B78" t="s">
        <v>13</v>
      </c>
      <c r="C78" s="1">
        <v>44941</v>
      </c>
      <c r="D78" s="1">
        <v>44961</v>
      </c>
      <c r="E78" t="s">
        <v>14</v>
      </c>
      <c r="F78" t="s">
        <v>19</v>
      </c>
      <c r="G78" s="2">
        <v>1440</v>
      </c>
      <c r="H78" s="3">
        <v>96.57</v>
      </c>
      <c r="I78">
        <v>83.87</v>
      </c>
      <c r="J78">
        <v>36</v>
      </c>
      <c r="K78" t="s">
        <v>16</v>
      </c>
      <c r="L78" s="3">
        <f t="shared" si="1"/>
        <v>120772.8</v>
      </c>
    </row>
    <row r="79" spans="1:12">
      <c r="A79" t="s">
        <v>105</v>
      </c>
      <c r="B79" t="s">
        <v>18</v>
      </c>
      <c r="C79" s="1">
        <v>44925</v>
      </c>
      <c r="D79" s="1">
        <v>44929</v>
      </c>
      <c r="E79" t="s">
        <v>26</v>
      </c>
      <c r="F79" t="s">
        <v>19</v>
      </c>
      <c r="G79" s="2">
        <v>1005</v>
      </c>
      <c r="H79" s="3">
        <v>14.87</v>
      </c>
      <c r="I79">
        <v>12.79</v>
      </c>
      <c r="K79" t="s">
        <v>27</v>
      </c>
      <c r="L79" s="3">
        <f t="shared" si="1"/>
        <v>12853.949999999999</v>
      </c>
    </row>
    <row r="80" spans="1:12">
      <c r="A80" t="s">
        <v>106</v>
      </c>
      <c r="B80" t="s">
        <v>13</v>
      </c>
      <c r="C80" s="1">
        <v>44776</v>
      </c>
      <c r="E80" t="s">
        <v>22</v>
      </c>
      <c r="F80" t="s">
        <v>19</v>
      </c>
      <c r="G80" s="2">
        <v>1528</v>
      </c>
      <c r="H80" s="3">
        <v>36.520000000000003</v>
      </c>
      <c r="I80">
        <v>33</v>
      </c>
      <c r="J80">
        <v>31</v>
      </c>
      <c r="K80" t="s">
        <v>27</v>
      </c>
      <c r="L80" s="3">
        <f t="shared" si="1"/>
        <v>50424</v>
      </c>
    </row>
    <row r="81" spans="1:12">
      <c r="A81" t="s">
        <v>107</v>
      </c>
      <c r="B81" t="s">
        <v>21</v>
      </c>
      <c r="C81" s="1">
        <v>45248</v>
      </c>
      <c r="D81" s="1">
        <v>45255</v>
      </c>
      <c r="E81" t="s">
        <v>22</v>
      </c>
      <c r="F81" t="s">
        <v>19</v>
      </c>
      <c r="G81" s="2">
        <v>1501</v>
      </c>
      <c r="H81" s="3">
        <v>106.05</v>
      </c>
      <c r="I81">
        <v>100.99</v>
      </c>
      <c r="J81">
        <v>77</v>
      </c>
      <c r="K81" t="s">
        <v>27</v>
      </c>
      <c r="L81" s="3">
        <f t="shared" si="1"/>
        <v>151585.99</v>
      </c>
    </row>
    <row r="82" spans="1:12">
      <c r="A82" t="s">
        <v>108</v>
      </c>
      <c r="B82" t="s">
        <v>18</v>
      </c>
      <c r="C82" s="1">
        <v>44835</v>
      </c>
      <c r="D82" s="1">
        <v>44838</v>
      </c>
      <c r="E82" t="s">
        <v>24</v>
      </c>
      <c r="F82" t="s">
        <v>19</v>
      </c>
      <c r="G82">
        <v>558</v>
      </c>
      <c r="H82" s="3">
        <v>94.18</v>
      </c>
      <c r="I82">
        <v>81.400000000000006</v>
      </c>
      <c r="K82" t="s">
        <v>27</v>
      </c>
      <c r="L82" s="3">
        <f t="shared" si="1"/>
        <v>45421.200000000004</v>
      </c>
    </row>
    <row r="83" spans="1:12">
      <c r="A83" t="s">
        <v>109</v>
      </c>
      <c r="B83" t="s">
        <v>38</v>
      </c>
      <c r="C83" s="1">
        <v>45280</v>
      </c>
      <c r="D83" s="1">
        <v>45286</v>
      </c>
      <c r="E83" t="s">
        <v>22</v>
      </c>
      <c r="F83" t="s">
        <v>19</v>
      </c>
      <c r="G83">
        <v>825</v>
      </c>
      <c r="H83" s="3">
        <v>56.88</v>
      </c>
      <c r="I83">
        <v>50.84</v>
      </c>
      <c r="K83" t="s">
        <v>16</v>
      </c>
      <c r="L83" s="3">
        <f t="shared" si="1"/>
        <v>41943</v>
      </c>
    </row>
    <row r="84" spans="1:12">
      <c r="A84" t="s">
        <v>110</v>
      </c>
      <c r="B84" t="s">
        <v>38</v>
      </c>
      <c r="C84" s="1">
        <v>45261</v>
      </c>
      <c r="D84" s="1">
        <v>45267</v>
      </c>
      <c r="E84" t="s">
        <v>40</v>
      </c>
      <c r="F84" t="s">
        <v>15</v>
      </c>
      <c r="G84">
        <v>84</v>
      </c>
      <c r="H84" s="3">
        <v>73.38</v>
      </c>
      <c r="I84">
        <v>71.42</v>
      </c>
      <c r="J84">
        <v>9</v>
      </c>
      <c r="K84" t="s">
        <v>16</v>
      </c>
      <c r="L84" s="3">
        <f t="shared" si="1"/>
        <v>5999.28</v>
      </c>
    </row>
    <row r="85" spans="1:12">
      <c r="A85" t="s">
        <v>111</v>
      </c>
      <c r="B85" t="s">
        <v>18</v>
      </c>
      <c r="C85" s="1">
        <v>45225</v>
      </c>
      <c r="D85" s="1">
        <v>45240</v>
      </c>
      <c r="E85" t="s">
        <v>26</v>
      </c>
      <c r="F85" t="s">
        <v>19</v>
      </c>
      <c r="G85">
        <v>255</v>
      </c>
      <c r="H85" s="3">
        <v>38.64</v>
      </c>
      <c r="I85">
        <v>33.590000000000003</v>
      </c>
      <c r="J85">
        <v>27</v>
      </c>
      <c r="K85" t="s">
        <v>27</v>
      </c>
      <c r="L85" s="3">
        <f t="shared" si="1"/>
        <v>8565.4500000000007</v>
      </c>
    </row>
    <row r="86" spans="1:12">
      <c r="A86" t="s">
        <v>112</v>
      </c>
      <c r="B86" t="s">
        <v>21</v>
      </c>
      <c r="C86" s="1">
        <v>44635</v>
      </c>
      <c r="D86" s="1">
        <v>44651</v>
      </c>
      <c r="E86" t="s">
        <v>22</v>
      </c>
      <c r="F86" t="s">
        <v>19</v>
      </c>
      <c r="G86" s="2">
        <v>1154</v>
      </c>
      <c r="H86" s="3">
        <v>27.2</v>
      </c>
      <c r="I86">
        <v>26.07</v>
      </c>
      <c r="J86">
        <v>58</v>
      </c>
      <c r="K86" t="s">
        <v>16</v>
      </c>
      <c r="L86" s="3">
        <f t="shared" si="1"/>
        <v>30084.78</v>
      </c>
    </row>
    <row r="87" spans="1:12">
      <c r="A87" t="s">
        <v>113</v>
      </c>
      <c r="B87" t="s">
        <v>18</v>
      </c>
      <c r="C87" s="1">
        <v>45185</v>
      </c>
      <c r="D87" s="1">
        <v>45193</v>
      </c>
      <c r="E87" t="s">
        <v>14</v>
      </c>
      <c r="F87" t="s">
        <v>19</v>
      </c>
      <c r="G87" s="2">
        <v>1635</v>
      </c>
      <c r="H87" s="3">
        <v>56.91</v>
      </c>
      <c r="I87">
        <v>54.37</v>
      </c>
      <c r="J87">
        <v>262</v>
      </c>
      <c r="K87" t="s">
        <v>27</v>
      </c>
      <c r="L87" s="3">
        <f t="shared" si="1"/>
        <v>88894.95</v>
      </c>
    </row>
    <row r="88" spans="1:12">
      <c r="A88" t="s">
        <v>114</v>
      </c>
      <c r="B88" t="s">
        <v>18</v>
      </c>
      <c r="C88" s="1">
        <v>45212</v>
      </c>
      <c r="D88" s="1">
        <v>45222</v>
      </c>
      <c r="E88" t="s">
        <v>26</v>
      </c>
      <c r="F88" t="s">
        <v>19</v>
      </c>
      <c r="G88" s="2">
        <v>1945</v>
      </c>
      <c r="H88" s="3">
        <v>46.19</v>
      </c>
      <c r="I88">
        <v>40.119999999999997</v>
      </c>
      <c r="J88">
        <v>278</v>
      </c>
      <c r="K88" t="s">
        <v>27</v>
      </c>
      <c r="L88" s="3">
        <f t="shared" si="1"/>
        <v>78033.399999999994</v>
      </c>
    </row>
    <row r="89" spans="1:12">
      <c r="A89" t="s">
        <v>115</v>
      </c>
      <c r="B89" t="s">
        <v>18</v>
      </c>
      <c r="C89" s="1">
        <v>44737</v>
      </c>
      <c r="D89" s="1">
        <v>44752</v>
      </c>
      <c r="E89" t="s">
        <v>22</v>
      </c>
      <c r="F89" t="s">
        <v>33</v>
      </c>
      <c r="G89" s="2">
        <v>1461</v>
      </c>
      <c r="H89" s="3">
        <v>64.09</v>
      </c>
      <c r="I89">
        <v>63.39</v>
      </c>
      <c r="J89">
        <v>228</v>
      </c>
      <c r="K89" t="s">
        <v>27</v>
      </c>
      <c r="L89" s="3">
        <f t="shared" si="1"/>
        <v>92612.79</v>
      </c>
    </row>
    <row r="90" spans="1:12">
      <c r="A90" t="s">
        <v>116</v>
      </c>
      <c r="B90" t="s">
        <v>18</v>
      </c>
      <c r="C90" s="1">
        <v>45108</v>
      </c>
      <c r="D90" s="1">
        <v>45116</v>
      </c>
      <c r="E90" t="s">
        <v>40</v>
      </c>
      <c r="F90" t="s">
        <v>19</v>
      </c>
      <c r="G90" s="2">
        <v>1075</v>
      </c>
      <c r="H90" s="3">
        <v>18.53</v>
      </c>
      <c r="I90">
        <v>16.12</v>
      </c>
      <c r="J90">
        <v>147</v>
      </c>
      <c r="K90" t="s">
        <v>16</v>
      </c>
      <c r="L90" s="3">
        <f t="shared" si="1"/>
        <v>17329</v>
      </c>
    </row>
    <row r="91" spans="1:12">
      <c r="A91" t="s">
        <v>117</v>
      </c>
      <c r="B91" t="s">
        <v>13</v>
      </c>
      <c r="C91" s="1">
        <v>44812</v>
      </c>
      <c r="E91" t="s">
        <v>24</v>
      </c>
      <c r="F91" t="s">
        <v>19</v>
      </c>
      <c r="G91" s="2">
        <v>1071</v>
      </c>
      <c r="H91" s="3">
        <v>101.6</v>
      </c>
      <c r="I91">
        <v>93.91</v>
      </c>
      <c r="J91">
        <v>25</v>
      </c>
      <c r="K91" t="s">
        <v>16</v>
      </c>
      <c r="L91" s="3">
        <f t="shared" si="1"/>
        <v>100577.61</v>
      </c>
    </row>
    <row r="92" spans="1:12">
      <c r="A92" t="s">
        <v>118</v>
      </c>
      <c r="B92" t="s">
        <v>29</v>
      </c>
      <c r="C92" s="1">
        <v>44729</v>
      </c>
      <c r="D92" s="1">
        <v>44748</v>
      </c>
      <c r="E92" t="s">
        <v>24</v>
      </c>
      <c r="F92" t="s">
        <v>35</v>
      </c>
      <c r="G92" s="2">
        <v>1463</v>
      </c>
      <c r="H92" s="3">
        <v>101.23</v>
      </c>
      <c r="I92">
        <v>86.17</v>
      </c>
      <c r="J92">
        <v>43</v>
      </c>
      <c r="K92" t="s">
        <v>16</v>
      </c>
      <c r="L92" s="3">
        <f t="shared" si="1"/>
        <v>126066.71</v>
      </c>
    </row>
    <row r="93" spans="1:12">
      <c r="A93" t="s">
        <v>119</v>
      </c>
      <c r="B93" t="s">
        <v>38</v>
      </c>
      <c r="C93" s="1">
        <v>45035</v>
      </c>
      <c r="D93" s="1">
        <v>45042</v>
      </c>
      <c r="E93" t="s">
        <v>26</v>
      </c>
      <c r="F93" t="s">
        <v>19</v>
      </c>
      <c r="G93">
        <v>615</v>
      </c>
      <c r="H93" s="3">
        <v>78.3</v>
      </c>
      <c r="I93">
        <v>73.680000000000007</v>
      </c>
      <c r="J93">
        <v>69</v>
      </c>
      <c r="K93" t="s">
        <v>16</v>
      </c>
      <c r="L93" s="3">
        <f t="shared" si="1"/>
        <v>45313.200000000004</v>
      </c>
    </row>
    <row r="94" spans="1:12">
      <c r="A94" t="s">
        <v>120</v>
      </c>
      <c r="B94" t="s">
        <v>21</v>
      </c>
      <c r="C94" s="1">
        <v>44950</v>
      </c>
      <c r="D94" s="1">
        <v>44968</v>
      </c>
      <c r="E94" t="s">
        <v>40</v>
      </c>
      <c r="F94" t="s">
        <v>19</v>
      </c>
      <c r="G94" s="2">
        <v>1179</v>
      </c>
      <c r="H94" s="3">
        <v>61.74</v>
      </c>
      <c r="I94">
        <v>56.28</v>
      </c>
      <c r="K94" t="s">
        <v>16</v>
      </c>
      <c r="L94" s="3">
        <f t="shared" si="1"/>
        <v>66354.12</v>
      </c>
    </row>
    <row r="95" spans="1:12">
      <c r="A95" t="s">
        <v>121</v>
      </c>
      <c r="B95" t="s">
        <v>13</v>
      </c>
      <c r="C95" s="1">
        <v>44838</v>
      </c>
      <c r="D95" s="1">
        <v>44843</v>
      </c>
      <c r="E95" t="s">
        <v>40</v>
      </c>
      <c r="F95" t="s">
        <v>33</v>
      </c>
      <c r="G95" s="2">
        <v>1845</v>
      </c>
      <c r="H95" s="3">
        <v>39.56</v>
      </c>
      <c r="I95">
        <v>37.630000000000003</v>
      </c>
      <c r="J95">
        <v>45</v>
      </c>
      <c r="K95" t="s">
        <v>16</v>
      </c>
      <c r="L95" s="3">
        <f t="shared" si="1"/>
        <v>69427.350000000006</v>
      </c>
    </row>
    <row r="96" spans="1:12">
      <c r="A96" t="s">
        <v>122</v>
      </c>
      <c r="B96" t="s">
        <v>38</v>
      </c>
      <c r="C96" s="1">
        <v>45217</v>
      </c>
      <c r="E96" t="s">
        <v>40</v>
      </c>
      <c r="F96" t="s">
        <v>15</v>
      </c>
      <c r="G96" s="2">
        <v>1895</v>
      </c>
      <c r="H96" s="3">
        <v>91.98</v>
      </c>
      <c r="I96">
        <v>86.27</v>
      </c>
      <c r="J96">
        <v>170</v>
      </c>
      <c r="K96" t="s">
        <v>16</v>
      </c>
      <c r="L96" s="3">
        <f t="shared" si="1"/>
        <v>163481.65</v>
      </c>
    </row>
    <row r="97" spans="1:12">
      <c r="A97" t="s">
        <v>123</v>
      </c>
      <c r="B97" t="s">
        <v>29</v>
      </c>
      <c r="C97" s="1">
        <v>45266</v>
      </c>
      <c r="D97" s="1">
        <v>45269</v>
      </c>
      <c r="E97" t="s">
        <v>22</v>
      </c>
      <c r="F97" t="s">
        <v>33</v>
      </c>
      <c r="G97" s="2">
        <v>1550</v>
      </c>
      <c r="H97" s="3">
        <v>79.86</v>
      </c>
      <c r="I97">
        <v>69.569999999999993</v>
      </c>
      <c r="J97">
        <v>32</v>
      </c>
      <c r="K97" t="s">
        <v>27</v>
      </c>
      <c r="L97" s="3">
        <f t="shared" si="1"/>
        <v>107833.49999999999</v>
      </c>
    </row>
    <row r="98" spans="1:12">
      <c r="A98" t="s">
        <v>124</v>
      </c>
      <c r="B98" t="s">
        <v>18</v>
      </c>
      <c r="C98" s="1">
        <v>45132</v>
      </c>
      <c r="D98" s="1">
        <v>45142</v>
      </c>
      <c r="E98" t="s">
        <v>24</v>
      </c>
      <c r="F98" t="s">
        <v>19</v>
      </c>
      <c r="G98">
        <v>752</v>
      </c>
      <c r="H98" s="3">
        <v>26.85</v>
      </c>
      <c r="I98">
        <v>24.37</v>
      </c>
      <c r="K98" t="s">
        <v>27</v>
      </c>
      <c r="L98" s="3">
        <f t="shared" si="1"/>
        <v>18326.240000000002</v>
      </c>
    </row>
    <row r="99" spans="1:12">
      <c r="A99" t="s">
        <v>125</v>
      </c>
      <c r="B99" t="s">
        <v>29</v>
      </c>
      <c r="C99" s="1">
        <v>44786</v>
      </c>
      <c r="D99" s="1">
        <v>44805</v>
      </c>
      <c r="E99" t="s">
        <v>40</v>
      </c>
      <c r="F99" t="s">
        <v>19</v>
      </c>
      <c r="G99">
        <v>451</v>
      </c>
      <c r="H99" s="3">
        <v>95.2</v>
      </c>
      <c r="I99">
        <v>90.07</v>
      </c>
      <c r="J99">
        <v>21</v>
      </c>
      <c r="K99" t="s">
        <v>16</v>
      </c>
      <c r="L99" s="3">
        <f t="shared" si="1"/>
        <v>40621.57</v>
      </c>
    </row>
    <row r="100" spans="1:12">
      <c r="A100" t="s">
        <v>126</v>
      </c>
      <c r="B100" t="s">
        <v>38</v>
      </c>
      <c r="C100" s="1">
        <v>45263</v>
      </c>
      <c r="E100" t="s">
        <v>14</v>
      </c>
      <c r="F100" t="s">
        <v>19</v>
      </c>
      <c r="G100">
        <v>779</v>
      </c>
      <c r="H100" s="3">
        <v>93.69</v>
      </c>
      <c r="I100">
        <v>90.92</v>
      </c>
      <c r="J100">
        <v>66</v>
      </c>
      <c r="K100" t="s">
        <v>16</v>
      </c>
      <c r="L100" s="3">
        <f t="shared" si="1"/>
        <v>70826.680000000008</v>
      </c>
    </row>
    <row r="101" spans="1:12">
      <c r="A101" t="s">
        <v>127</v>
      </c>
      <c r="B101" t="s">
        <v>38</v>
      </c>
      <c r="C101" s="1">
        <v>44894</v>
      </c>
      <c r="D101" s="1">
        <v>44909</v>
      </c>
      <c r="E101" t="s">
        <v>22</v>
      </c>
      <c r="F101" t="s">
        <v>35</v>
      </c>
      <c r="G101" s="2">
        <v>1629</v>
      </c>
      <c r="H101" s="3">
        <v>100.26</v>
      </c>
      <c r="I101">
        <v>86.44</v>
      </c>
      <c r="J101">
        <v>187</v>
      </c>
      <c r="K101" t="s">
        <v>27</v>
      </c>
      <c r="L101" s="3">
        <f t="shared" si="1"/>
        <v>140810.76</v>
      </c>
    </row>
    <row r="102" spans="1:12">
      <c r="A102" t="s">
        <v>128</v>
      </c>
      <c r="B102" t="s">
        <v>13</v>
      </c>
      <c r="C102" s="1">
        <v>44619</v>
      </c>
      <c r="D102" s="1">
        <v>44614</v>
      </c>
      <c r="E102" t="s">
        <v>14</v>
      </c>
      <c r="F102" t="s">
        <v>19</v>
      </c>
      <c r="G102">
        <v>211</v>
      </c>
      <c r="H102" s="3">
        <v>75.69</v>
      </c>
      <c r="I102">
        <v>65.400000000000006</v>
      </c>
      <c r="J102">
        <v>2</v>
      </c>
      <c r="K102" t="s">
        <v>16</v>
      </c>
      <c r="L102" s="3">
        <f t="shared" si="1"/>
        <v>13799.400000000001</v>
      </c>
    </row>
    <row r="103" spans="1:12">
      <c r="A103" t="s">
        <v>129</v>
      </c>
      <c r="B103" t="s">
        <v>13</v>
      </c>
      <c r="C103" s="1">
        <v>44796</v>
      </c>
      <c r="E103" t="s">
        <v>14</v>
      </c>
      <c r="F103" t="s">
        <v>19</v>
      </c>
      <c r="G103">
        <v>251</v>
      </c>
      <c r="H103" s="3">
        <v>67.489999999999995</v>
      </c>
      <c r="I103">
        <v>64.48</v>
      </c>
      <c r="J103">
        <v>2</v>
      </c>
      <c r="K103" t="s">
        <v>16</v>
      </c>
      <c r="L103" s="3">
        <f t="shared" si="1"/>
        <v>16184.480000000001</v>
      </c>
    </row>
    <row r="104" spans="1:12">
      <c r="A104" t="s">
        <v>130</v>
      </c>
      <c r="B104" t="s">
        <v>21</v>
      </c>
      <c r="C104" s="1">
        <v>44594</v>
      </c>
      <c r="D104" s="1">
        <v>44610</v>
      </c>
      <c r="E104" t="s">
        <v>26</v>
      </c>
      <c r="F104" t="s">
        <v>19</v>
      </c>
      <c r="G104" s="2">
        <v>1045</v>
      </c>
      <c r="H104" s="3">
        <v>47.88</v>
      </c>
      <c r="I104">
        <v>44.65</v>
      </c>
      <c r="J104">
        <v>69</v>
      </c>
      <c r="K104" t="s">
        <v>16</v>
      </c>
      <c r="L104" s="3">
        <f t="shared" si="1"/>
        <v>46659.25</v>
      </c>
    </row>
    <row r="105" spans="1:12">
      <c r="A105" t="s">
        <v>131</v>
      </c>
      <c r="B105" t="s">
        <v>18</v>
      </c>
      <c r="C105" s="1">
        <v>44885</v>
      </c>
      <c r="D105" s="1">
        <v>44905</v>
      </c>
      <c r="E105" t="s">
        <v>22</v>
      </c>
      <c r="F105" t="s">
        <v>19</v>
      </c>
      <c r="G105">
        <v>319</v>
      </c>
      <c r="H105" s="3">
        <v>98.64</v>
      </c>
      <c r="I105">
        <v>89.15</v>
      </c>
      <c r="J105">
        <v>57</v>
      </c>
      <c r="K105" t="s">
        <v>16</v>
      </c>
      <c r="L105" s="3">
        <f t="shared" si="1"/>
        <v>28438.850000000002</v>
      </c>
    </row>
    <row r="106" spans="1:12">
      <c r="A106" t="s">
        <v>132</v>
      </c>
      <c r="B106" t="s">
        <v>29</v>
      </c>
      <c r="C106" s="1">
        <v>44972</v>
      </c>
      <c r="D106" s="1">
        <v>44986</v>
      </c>
      <c r="E106" t="s">
        <v>14</v>
      </c>
      <c r="F106" t="s">
        <v>33</v>
      </c>
      <c r="G106" s="2">
        <v>1936</v>
      </c>
      <c r="H106" s="3">
        <v>93.66</v>
      </c>
      <c r="I106">
        <v>92.24</v>
      </c>
      <c r="J106">
        <v>58</v>
      </c>
      <c r="K106" t="s">
        <v>16</v>
      </c>
      <c r="L106" s="3">
        <f t="shared" si="1"/>
        <v>178576.63999999998</v>
      </c>
    </row>
    <row r="107" spans="1:12">
      <c r="A107" t="s">
        <v>133</v>
      </c>
      <c r="B107" t="s">
        <v>18</v>
      </c>
      <c r="C107" s="1">
        <v>44836</v>
      </c>
      <c r="D107" s="1">
        <v>44856</v>
      </c>
      <c r="E107" t="s">
        <v>22</v>
      </c>
      <c r="F107" t="s">
        <v>15</v>
      </c>
      <c r="G107">
        <v>865</v>
      </c>
      <c r="H107" s="3">
        <v>14.7</v>
      </c>
      <c r="I107">
        <v>13.14</v>
      </c>
      <c r="J107">
        <v>135</v>
      </c>
      <c r="K107" t="s">
        <v>27</v>
      </c>
      <c r="L107" s="3">
        <f t="shared" si="1"/>
        <v>11366.1</v>
      </c>
    </row>
    <row r="108" spans="1:12">
      <c r="A108" t="s">
        <v>134</v>
      </c>
      <c r="B108" t="s">
        <v>29</v>
      </c>
      <c r="C108" s="1">
        <v>44629</v>
      </c>
      <c r="D108" s="1">
        <v>44632</v>
      </c>
      <c r="E108" t="s">
        <v>40</v>
      </c>
      <c r="F108" t="s">
        <v>19</v>
      </c>
      <c r="G108" s="2">
        <v>1344</v>
      </c>
      <c r="H108" s="3">
        <v>12.5</v>
      </c>
      <c r="I108">
        <v>10.87</v>
      </c>
      <c r="J108">
        <v>44</v>
      </c>
      <c r="K108" t="s">
        <v>16</v>
      </c>
      <c r="L108" s="3">
        <f t="shared" si="1"/>
        <v>14609.279999999999</v>
      </c>
    </row>
    <row r="109" spans="1:12">
      <c r="A109" t="s">
        <v>135</v>
      </c>
      <c r="B109" t="s">
        <v>18</v>
      </c>
      <c r="C109" s="1">
        <v>44778</v>
      </c>
      <c r="D109" s="1">
        <v>44797</v>
      </c>
      <c r="E109" t="s">
        <v>26</v>
      </c>
      <c r="F109" t="s">
        <v>35</v>
      </c>
      <c r="G109">
        <v>505</v>
      </c>
      <c r="H109" s="3">
        <v>45.42</v>
      </c>
      <c r="I109">
        <v>40.369999999999997</v>
      </c>
      <c r="J109">
        <v>62</v>
      </c>
      <c r="K109" t="s">
        <v>16</v>
      </c>
      <c r="L109" s="3">
        <f t="shared" si="1"/>
        <v>20386.849999999999</v>
      </c>
    </row>
    <row r="110" spans="1:12">
      <c r="A110" t="s">
        <v>136</v>
      </c>
      <c r="B110" t="s">
        <v>38</v>
      </c>
      <c r="C110" s="1">
        <v>45142</v>
      </c>
      <c r="D110" s="1">
        <v>45143</v>
      </c>
      <c r="E110" t="s">
        <v>24</v>
      </c>
      <c r="F110" t="s">
        <v>19</v>
      </c>
      <c r="G110" s="2">
        <v>1535</v>
      </c>
      <c r="H110" s="3">
        <v>90.83</v>
      </c>
      <c r="I110">
        <v>78.28</v>
      </c>
      <c r="J110">
        <v>151</v>
      </c>
      <c r="K110" t="s">
        <v>27</v>
      </c>
      <c r="L110" s="3">
        <f t="shared" si="1"/>
        <v>120159.8</v>
      </c>
    </row>
    <row r="111" spans="1:12">
      <c r="A111" t="s">
        <v>137</v>
      </c>
      <c r="B111" t="s">
        <v>38</v>
      </c>
      <c r="C111" s="1">
        <v>44884</v>
      </c>
      <c r="E111" t="s">
        <v>14</v>
      </c>
      <c r="F111" t="s">
        <v>19</v>
      </c>
      <c r="G111" s="2">
        <v>1800</v>
      </c>
      <c r="H111" s="3">
        <v>103.8</v>
      </c>
      <c r="I111">
        <v>96.27</v>
      </c>
      <c r="J111">
        <v>166</v>
      </c>
      <c r="K111" t="s">
        <v>16</v>
      </c>
      <c r="L111" s="3">
        <f t="shared" si="1"/>
        <v>173286</v>
      </c>
    </row>
    <row r="112" spans="1:12">
      <c r="A112" t="s">
        <v>138</v>
      </c>
      <c r="B112" t="s">
        <v>18</v>
      </c>
      <c r="C112" s="1">
        <v>44779</v>
      </c>
      <c r="D112" s="1">
        <v>44788</v>
      </c>
      <c r="E112" t="s">
        <v>26</v>
      </c>
      <c r="F112" t="s">
        <v>35</v>
      </c>
      <c r="G112" s="2">
        <v>1325</v>
      </c>
      <c r="H112" s="3">
        <v>24.36</v>
      </c>
      <c r="I112">
        <v>22.75</v>
      </c>
      <c r="J112">
        <v>206</v>
      </c>
      <c r="K112" t="s">
        <v>16</v>
      </c>
      <c r="L112" s="3">
        <f t="shared" si="1"/>
        <v>30143.75</v>
      </c>
    </row>
    <row r="113" spans="1:12">
      <c r="A113" t="s">
        <v>139</v>
      </c>
      <c r="B113" t="s">
        <v>21</v>
      </c>
      <c r="C113" s="1">
        <v>45233</v>
      </c>
      <c r="D113" s="1">
        <v>45239</v>
      </c>
      <c r="E113" t="s">
        <v>26</v>
      </c>
      <c r="F113" t="s">
        <v>19</v>
      </c>
      <c r="G113" s="2">
        <v>1066</v>
      </c>
      <c r="H113" s="3">
        <v>70.45</v>
      </c>
      <c r="I113">
        <v>65.88</v>
      </c>
      <c r="J113">
        <v>56</v>
      </c>
      <c r="K113" t="s">
        <v>27</v>
      </c>
      <c r="L113" s="3">
        <f t="shared" si="1"/>
        <v>70228.08</v>
      </c>
    </row>
    <row r="114" spans="1:12">
      <c r="A114" t="s">
        <v>140</v>
      </c>
      <c r="B114" t="s">
        <v>38</v>
      </c>
      <c r="C114" s="1">
        <v>45073</v>
      </c>
      <c r="D114" s="1">
        <v>45088</v>
      </c>
      <c r="E114" t="s">
        <v>26</v>
      </c>
      <c r="F114" t="s">
        <v>19</v>
      </c>
      <c r="G114" s="2">
        <v>1775</v>
      </c>
      <c r="H114" s="3">
        <v>47.82</v>
      </c>
      <c r="I114">
        <v>45.86</v>
      </c>
      <c r="J114">
        <v>180</v>
      </c>
      <c r="K114" t="s">
        <v>16</v>
      </c>
      <c r="L114" s="3">
        <f t="shared" si="1"/>
        <v>81401.5</v>
      </c>
    </row>
    <row r="115" spans="1:12">
      <c r="A115" t="s">
        <v>141</v>
      </c>
      <c r="B115" t="s">
        <v>21</v>
      </c>
      <c r="C115" s="1">
        <v>44967</v>
      </c>
      <c r="E115" t="s">
        <v>26</v>
      </c>
      <c r="F115" t="s">
        <v>33</v>
      </c>
      <c r="G115">
        <v>345</v>
      </c>
      <c r="H115" s="3">
        <v>103.62</v>
      </c>
      <c r="I115">
        <v>98.09</v>
      </c>
      <c r="J115">
        <v>25</v>
      </c>
      <c r="K115" t="s">
        <v>27</v>
      </c>
      <c r="L115" s="3">
        <f t="shared" si="1"/>
        <v>33841.050000000003</v>
      </c>
    </row>
    <row r="116" spans="1:12">
      <c r="A116" t="s">
        <v>142</v>
      </c>
      <c r="B116" t="s">
        <v>38</v>
      </c>
      <c r="C116" s="1">
        <v>45220</v>
      </c>
      <c r="D116" s="1">
        <v>45239</v>
      </c>
      <c r="E116" t="s">
        <v>40</v>
      </c>
      <c r="F116" t="s">
        <v>19</v>
      </c>
      <c r="G116" s="2">
        <v>1798</v>
      </c>
      <c r="H116" s="3">
        <v>94.8</v>
      </c>
      <c r="I116">
        <v>91.83</v>
      </c>
      <c r="K116" t="s">
        <v>16</v>
      </c>
      <c r="L116" s="3">
        <f t="shared" si="1"/>
        <v>165110.34</v>
      </c>
    </row>
    <row r="117" spans="1:12">
      <c r="A117" t="s">
        <v>143</v>
      </c>
      <c r="B117" t="s">
        <v>13</v>
      </c>
      <c r="C117" s="1">
        <v>45031</v>
      </c>
      <c r="D117" s="1">
        <v>45047</v>
      </c>
      <c r="E117" t="s">
        <v>22</v>
      </c>
      <c r="F117" t="s">
        <v>19</v>
      </c>
      <c r="G117">
        <v>769</v>
      </c>
      <c r="H117" s="3">
        <v>91.86</v>
      </c>
      <c r="I117">
        <v>86.55</v>
      </c>
      <c r="J117">
        <v>17</v>
      </c>
      <c r="K117" t="s">
        <v>16</v>
      </c>
      <c r="L117" s="3">
        <f t="shared" si="1"/>
        <v>66556.95</v>
      </c>
    </row>
    <row r="118" spans="1:12">
      <c r="A118" t="s">
        <v>144</v>
      </c>
      <c r="B118" t="s">
        <v>13</v>
      </c>
      <c r="C118" s="1">
        <v>44708</v>
      </c>
      <c r="E118" t="s">
        <v>24</v>
      </c>
      <c r="F118" t="s">
        <v>19</v>
      </c>
      <c r="G118" s="2">
        <v>1822</v>
      </c>
      <c r="H118" s="3">
        <v>53.23</v>
      </c>
      <c r="I118">
        <v>47.49</v>
      </c>
      <c r="J118">
        <v>39</v>
      </c>
      <c r="K118" t="s">
        <v>16</v>
      </c>
      <c r="L118" s="3">
        <f t="shared" si="1"/>
        <v>86526.78</v>
      </c>
    </row>
    <row r="119" spans="1:12">
      <c r="A119" t="s">
        <v>145</v>
      </c>
      <c r="B119" t="s">
        <v>18</v>
      </c>
      <c r="C119" s="1">
        <v>44833</v>
      </c>
      <c r="D119" s="1">
        <v>44847</v>
      </c>
      <c r="E119" t="s">
        <v>24</v>
      </c>
      <c r="F119" t="s">
        <v>19</v>
      </c>
      <c r="G119">
        <v>387</v>
      </c>
      <c r="H119" s="3">
        <v>49.23</v>
      </c>
      <c r="I119">
        <v>45.41</v>
      </c>
      <c r="J119">
        <v>61</v>
      </c>
      <c r="K119" t="s">
        <v>16</v>
      </c>
      <c r="L119" s="3">
        <f t="shared" si="1"/>
        <v>17573.669999999998</v>
      </c>
    </row>
    <row r="120" spans="1:12">
      <c r="A120" t="s">
        <v>146</v>
      </c>
      <c r="B120" t="s">
        <v>29</v>
      </c>
      <c r="C120" s="1">
        <v>44704</v>
      </c>
      <c r="D120" s="1">
        <v>44708</v>
      </c>
      <c r="E120" t="s">
        <v>22</v>
      </c>
      <c r="F120" t="s">
        <v>19</v>
      </c>
      <c r="G120">
        <v>928</v>
      </c>
      <c r="H120" s="3">
        <v>35.299999999999997</v>
      </c>
      <c r="I120">
        <v>32.520000000000003</v>
      </c>
      <c r="J120">
        <v>26</v>
      </c>
      <c r="K120" t="s">
        <v>16</v>
      </c>
      <c r="L120" s="3">
        <f t="shared" si="1"/>
        <v>30178.560000000001</v>
      </c>
    </row>
    <row r="121" spans="1:12">
      <c r="A121" t="s">
        <v>147</v>
      </c>
      <c r="B121" t="s">
        <v>13</v>
      </c>
      <c r="C121" s="1">
        <v>44814</v>
      </c>
      <c r="D121" s="1">
        <v>44825</v>
      </c>
      <c r="E121" t="s">
        <v>24</v>
      </c>
      <c r="F121" t="s">
        <v>33</v>
      </c>
      <c r="G121" s="2">
        <v>1126</v>
      </c>
      <c r="H121" s="3">
        <v>15.68</v>
      </c>
      <c r="I121">
        <v>14.97</v>
      </c>
      <c r="J121">
        <v>27</v>
      </c>
      <c r="K121" t="s">
        <v>16</v>
      </c>
      <c r="L121" s="3">
        <f t="shared" si="1"/>
        <v>16856.22</v>
      </c>
    </row>
    <row r="122" spans="1:12">
      <c r="A122" t="s">
        <v>148</v>
      </c>
      <c r="B122" t="s">
        <v>38</v>
      </c>
      <c r="C122" s="1">
        <v>45136</v>
      </c>
      <c r="D122" s="1">
        <v>45152</v>
      </c>
      <c r="E122" t="s">
        <v>26</v>
      </c>
      <c r="F122" t="s">
        <v>15</v>
      </c>
      <c r="G122">
        <v>841</v>
      </c>
      <c r="H122" s="3">
        <v>95.73</v>
      </c>
      <c r="I122">
        <v>85.33</v>
      </c>
      <c r="J122">
        <v>81</v>
      </c>
      <c r="K122" t="s">
        <v>16</v>
      </c>
      <c r="L122" s="3">
        <f t="shared" si="1"/>
        <v>71762.53</v>
      </c>
    </row>
    <row r="123" spans="1:12">
      <c r="A123" t="s">
        <v>149</v>
      </c>
      <c r="B123" t="s">
        <v>38</v>
      </c>
      <c r="C123" s="1">
        <v>45113</v>
      </c>
      <c r="D123" s="1">
        <v>45126</v>
      </c>
      <c r="E123" t="s">
        <v>40</v>
      </c>
      <c r="F123" t="s">
        <v>19</v>
      </c>
      <c r="G123" s="2">
        <v>1995</v>
      </c>
      <c r="H123" s="3">
        <v>90.65</v>
      </c>
      <c r="I123">
        <v>77.75</v>
      </c>
      <c r="J123">
        <v>206</v>
      </c>
      <c r="K123" t="s">
        <v>16</v>
      </c>
      <c r="L123" s="3">
        <f t="shared" si="1"/>
        <v>155111.25</v>
      </c>
    </row>
    <row r="124" spans="1:12">
      <c r="A124" t="s">
        <v>150</v>
      </c>
      <c r="B124" t="s">
        <v>13</v>
      </c>
      <c r="C124" s="1">
        <v>44831</v>
      </c>
      <c r="D124" s="1">
        <v>44849</v>
      </c>
      <c r="E124" t="s">
        <v>26</v>
      </c>
      <c r="F124" t="s">
        <v>19</v>
      </c>
      <c r="G124">
        <v>266</v>
      </c>
      <c r="H124" s="3">
        <v>103.97</v>
      </c>
      <c r="I124">
        <v>101.44</v>
      </c>
      <c r="J124">
        <v>6</v>
      </c>
      <c r="K124" t="s">
        <v>16</v>
      </c>
      <c r="L124" s="3">
        <f t="shared" si="1"/>
        <v>26983.040000000001</v>
      </c>
    </row>
    <row r="125" spans="1:12">
      <c r="A125" t="s">
        <v>151</v>
      </c>
      <c r="B125" t="s">
        <v>13</v>
      </c>
      <c r="C125" s="1">
        <v>45160</v>
      </c>
      <c r="D125" s="1">
        <v>45163</v>
      </c>
      <c r="E125" t="s">
        <v>26</v>
      </c>
      <c r="F125" t="s">
        <v>15</v>
      </c>
      <c r="G125">
        <v>813</v>
      </c>
      <c r="H125" s="3">
        <v>109.17</v>
      </c>
      <c r="I125">
        <v>107.39</v>
      </c>
      <c r="J125">
        <v>14</v>
      </c>
      <c r="K125" t="s">
        <v>16</v>
      </c>
      <c r="L125" s="3">
        <f t="shared" si="1"/>
        <v>87308.07</v>
      </c>
    </row>
    <row r="126" spans="1:12">
      <c r="A126" t="s">
        <v>152</v>
      </c>
      <c r="B126" t="s">
        <v>29</v>
      </c>
      <c r="C126" s="1">
        <v>45000</v>
      </c>
      <c r="D126" s="1">
        <v>45011</v>
      </c>
      <c r="E126" t="s">
        <v>40</v>
      </c>
      <c r="F126" t="s">
        <v>19</v>
      </c>
      <c r="G126">
        <v>237</v>
      </c>
      <c r="H126" s="3">
        <v>64.19</v>
      </c>
      <c r="I126">
        <v>59.01</v>
      </c>
      <c r="J126">
        <v>7</v>
      </c>
      <c r="K126" t="s">
        <v>16</v>
      </c>
      <c r="L126" s="3">
        <f t="shared" si="1"/>
        <v>13985.369999999999</v>
      </c>
    </row>
    <row r="127" spans="1:12">
      <c r="A127" t="s">
        <v>153</v>
      </c>
      <c r="B127" t="s">
        <v>13</v>
      </c>
      <c r="C127" s="1">
        <v>45159</v>
      </c>
      <c r="D127" s="1">
        <v>45172</v>
      </c>
      <c r="E127" t="s">
        <v>14</v>
      </c>
      <c r="F127" t="s">
        <v>15</v>
      </c>
      <c r="G127">
        <v>429</v>
      </c>
      <c r="H127" s="3">
        <v>86.73</v>
      </c>
      <c r="I127">
        <v>75.09</v>
      </c>
      <c r="J127">
        <v>9</v>
      </c>
      <c r="K127" t="s">
        <v>16</v>
      </c>
      <c r="L127" s="3">
        <f t="shared" si="1"/>
        <v>32213.61</v>
      </c>
    </row>
    <row r="128" spans="1:12">
      <c r="A128" t="s">
        <v>154</v>
      </c>
      <c r="B128" t="s">
        <v>18</v>
      </c>
      <c r="C128" s="1">
        <v>44970</v>
      </c>
      <c r="D128" s="1">
        <v>44971</v>
      </c>
      <c r="E128" t="s">
        <v>24</v>
      </c>
      <c r="F128" t="s">
        <v>19</v>
      </c>
      <c r="G128">
        <v>542</v>
      </c>
      <c r="H128" s="3">
        <v>101.21</v>
      </c>
      <c r="I128">
        <v>93.11</v>
      </c>
      <c r="J128">
        <v>78</v>
      </c>
      <c r="K128" t="s">
        <v>27</v>
      </c>
      <c r="L128" s="3">
        <f t="shared" si="1"/>
        <v>50465.62</v>
      </c>
    </row>
    <row r="129" spans="1:12">
      <c r="A129" t="s">
        <v>155</v>
      </c>
      <c r="B129" t="s">
        <v>29</v>
      </c>
      <c r="C129" s="1">
        <v>44932</v>
      </c>
      <c r="D129" s="1">
        <v>44950</v>
      </c>
      <c r="E129" t="s">
        <v>40</v>
      </c>
      <c r="F129" t="s">
        <v>19</v>
      </c>
      <c r="G129" s="2">
        <v>1114</v>
      </c>
      <c r="H129" s="3">
        <v>91.66</v>
      </c>
      <c r="I129">
        <v>85.53</v>
      </c>
      <c r="J129">
        <v>35</v>
      </c>
      <c r="K129" t="s">
        <v>16</v>
      </c>
      <c r="L129" s="3">
        <f t="shared" si="1"/>
        <v>95280.42</v>
      </c>
    </row>
    <row r="130" spans="1:12">
      <c r="A130" t="s">
        <v>156</v>
      </c>
      <c r="B130" t="s">
        <v>13</v>
      </c>
      <c r="C130" s="1">
        <v>44786</v>
      </c>
      <c r="D130" s="1">
        <v>44788</v>
      </c>
      <c r="E130" t="s">
        <v>22</v>
      </c>
      <c r="F130" t="s">
        <v>19</v>
      </c>
      <c r="G130" s="2">
        <v>1230</v>
      </c>
      <c r="H130" s="3">
        <v>33.39</v>
      </c>
      <c r="I130">
        <v>30.85</v>
      </c>
      <c r="J130">
        <v>26</v>
      </c>
      <c r="K130" t="s">
        <v>16</v>
      </c>
      <c r="L130" s="3">
        <f t="shared" si="1"/>
        <v>37945.5</v>
      </c>
    </row>
    <row r="131" spans="1:12">
      <c r="A131" t="s">
        <v>157</v>
      </c>
      <c r="B131" t="s">
        <v>38</v>
      </c>
      <c r="C131" s="1">
        <v>44703</v>
      </c>
      <c r="D131" s="1">
        <v>44715</v>
      </c>
      <c r="E131" t="s">
        <v>22</v>
      </c>
      <c r="F131" t="s">
        <v>19</v>
      </c>
      <c r="G131">
        <v>64</v>
      </c>
      <c r="H131" s="3">
        <v>51.56</v>
      </c>
      <c r="I131">
        <v>50.88</v>
      </c>
      <c r="J131">
        <v>5</v>
      </c>
      <c r="K131" t="s">
        <v>16</v>
      </c>
      <c r="L131" s="3">
        <f t="shared" ref="L131:L194" si="2">I131*G131</f>
        <v>3256.32</v>
      </c>
    </row>
    <row r="132" spans="1:12">
      <c r="A132" t="s">
        <v>158</v>
      </c>
      <c r="B132" t="s">
        <v>13</v>
      </c>
      <c r="C132" s="1">
        <v>45083</v>
      </c>
      <c r="D132" s="1">
        <v>45099</v>
      </c>
      <c r="E132" t="s">
        <v>22</v>
      </c>
      <c r="F132" t="s">
        <v>19</v>
      </c>
      <c r="G132" s="2">
        <v>1886</v>
      </c>
      <c r="H132" s="3">
        <v>23.46</v>
      </c>
      <c r="I132">
        <v>23.18</v>
      </c>
      <c r="K132" t="s">
        <v>16</v>
      </c>
      <c r="L132" s="3">
        <f t="shared" si="2"/>
        <v>43717.479999999996</v>
      </c>
    </row>
    <row r="133" spans="1:12">
      <c r="A133" t="s">
        <v>159</v>
      </c>
      <c r="B133" t="s">
        <v>18</v>
      </c>
      <c r="C133" s="1">
        <v>45067</v>
      </c>
      <c r="D133" s="1">
        <v>45069</v>
      </c>
      <c r="E133" t="s">
        <v>14</v>
      </c>
      <c r="F133" t="s">
        <v>19</v>
      </c>
      <c r="G133">
        <v>114</v>
      </c>
      <c r="H133" s="3">
        <v>103.53</v>
      </c>
      <c r="I133">
        <v>101.54</v>
      </c>
      <c r="J133">
        <v>14</v>
      </c>
      <c r="K133" t="s">
        <v>16</v>
      </c>
      <c r="L133" s="3">
        <f t="shared" si="2"/>
        <v>11575.560000000001</v>
      </c>
    </row>
    <row r="134" spans="1:12">
      <c r="A134" t="s">
        <v>160</v>
      </c>
      <c r="B134" t="s">
        <v>18</v>
      </c>
      <c r="C134" s="1">
        <v>44655</v>
      </c>
      <c r="D134" s="1">
        <v>44673</v>
      </c>
      <c r="E134" t="s">
        <v>40</v>
      </c>
      <c r="F134" t="s">
        <v>15</v>
      </c>
      <c r="G134" s="2">
        <v>1930</v>
      </c>
      <c r="H134" s="3">
        <v>65.52</v>
      </c>
      <c r="I134">
        <v>56.9</v>
      </c>
      <c r="J134">
        <v>282</v>
      </c>
      <c r="K134" t="s">
        <v>16</v>
      </c>
      <c r="L134" s="3">
        <f t="shared" si="2"/>
        <v>109817</v>
      </c>
    </row>
    <row r="135" spans="1:12">
      <c r="A135" t="s">
        <v>161</v>
      </c>
      <c r="B135" t="s">
        <v>38</v>
      </c>
      <c r="C135" s="1">
        <v>44610</v>
      </c>
      <c r="D135" s="1">
        <v>44620</v>
      </c>
      <c r="E135" t="s">
        <v>14</v>
      </c>
      <c r="F135" t="s">
        <v>35</v>
      </c>
      <c r="G135" s="2">
        <v>1912</v>
      </c>
      <c r="H135" s="3">
        <v>30.73</v>
      </c>
      <c r="I135">
        <v>29.82</v>
      </c>
      <c r="J135">
        <v>191</v>
      </c>
      <c r="K135" t="s">
        <v>16</v>
      </c>
      <c r="L135" s="3">
        <f t="shared" si="2"/>
        <v>57015.840000000004</v>
      </c>
    </row>
    <row r="136" spans="1:12">
      <c r="A136" t="s">
        <v>162</v>
      </c>
      <c r="B136" t="s">
        <v>29</v>
      </c>
      <c r="C136" s="1">
        <v>44674</v>
      </c>
      <c r="D136" s="1">
        <v>44690</v>
      </c>
      <c r="E136" t="s">
        <v>22</v>
      </c>
      <c r="F136" t="s">
        <v>19</v>
      </c>
      <c r="G136">
        <v>570</v>
      </c>
      <c r="H136" s="3">
        <v>71.510000000000005</v>
      </c>
      <c r="I136">
        <v>66.47</v>
      </c>
      <c r="K136" t="s">
        <v>16</v>
      </c>
      <c r="L136" s="3">
        <f t="shared" si="2"/>
        <v>37887.9</v>
      </c>
    </row>
    <row r="137" spans="1:12">
      <c r="A137" t="s">
        <v>163</v>
      </c>
      <c r="B137" t="s">
        <v>38</v>
      </c>
      <c r="C137" s="1">
        <v>44718</v>
      </c>
      <c r="D137" s="1">
        <v>44738</v>
      </c>
      <c r="E137" t="s">
        <v>26</v>
      </c>
      <c r="F137" t="s">
        <v>19</v>
      </c>
      <c r="G137" s="2">
        <v>1417</v>
      </c>
      <c r="H137" s="3">
        <v>67.27</v>
      </c>
      <c r="I137">
        <v>60.62</v>
      </c>
      <c r="K137" t="s">
        <v>16</v>
      </c>
      <c r="L137" s="3">
        <f t="shared" si="2"/>
        <v>85898.54</v>
      </c>
    </row>
    <row r="138" spans="1:12">
      <c r="A138" t="s">
        <v>164</v>
      </c>
      <c r="B138" t="s">
        <v>13</v>
      </c>
      <c r="C138" s="1">
        <v>45204</v>
      </c>
      <c r="D138" s="1">
        <v>45210</v>
      </c>
      <c r="E138" t="s">
        <v>26</v>
      </c>
      <c r="F138" t="s">
        <v>19</v>
      </c>
      <c r="G138" s="2">
        <v>1202</v>
      </c>
      <c r="H138" s="3">
        <v>46.67</v>
      </c>
      <c r="I138">
        <v>44.13</v>
      </c>
      <c r="J138">
        <v>21</v>
      </c>
      <c r="K138" t="s">
        <v>27</v>
      </c>
      <c r="L138" s="3">
        <f t="shared" si="2"/>
        <v>53044.26</v>
      </c>
    </row>
    <row r="139" spans="1:12">
      <c r="A139" t="s">
        <v>165</v>
      </c>
      <c r="B139" t="s">
        <v>38</v>
      </c>
      <c r="C139" s="1">
        <v>44725</v>
      </c>
      <c r="D139" s="1">
        <v>44726</v>
      </c>
      <c r="E139" t="s">
        <v>14</v>
      </c>
      <c r="F139" t="s">
        <v>19</v>
      </c>
      <c r="G139">
        <v>697</v>
      </c>
      <c r="H139" s="3">
        <v>20.73</v>
      </c>
      <c r="I139">
        <v>19.829999999999998</v>
      </c>
      <c r="J139">
        <v>78</v>
      </c>
      <c r="K139" t="s">
        <v>27</v>
      </c>
      <c r="L139" s="3">
        <f t="shared" si="2"/>
        <v>13821.509999999998</v>
      </c>
    </row>
    <row r="140" spans="1:12">
      <c r="A140" t="s">
        <v>166</v>
      </c>
      <c r="B140" t="s">
        <v>29</v>
      </c>
      <c r="C140" s="1">
        <v>45258</v>
      </c>
      <c r="D140" s="1">
        <v>45261</v>
      </c>
      <c r="E140" t="s">
        <v>22</v>
      </c>
      <c r="F140" t="s">
        <v>19</v>
      </c>
      <c r="G140" s="2">
        <v>1545</v>
      </c>
      <c r="H140" s="3">
        <v>78.19</v>
      </c>
      <c r="I140">
        <v>76.91</v>
      </c>
      <c r="J140">
        <v>42</v>
      </c>
      <c r="K140" t="s">
        <v>16</v>
      </c>
      <c r="L140" s="3">
        <f t="shared" si="2"/>
        <v>118825.95</v>
      </c>
    </row>
    <row r="141" spans="1:12">
      <c r="A141" t="s">
        <v>167</v>
      </c>
      <c r="B141" t="s">
        <v>21</v>
      </c>
      <c r="C141" s="1">
        <v>44994</v>
      </c>
      <c r="D141" s="1">
        <v>44998</v>
      </c>
      <c r="E141" t="s">
        <v>22</v>
      </c>
      <c r="F141" t="s">
        <v>33</v>
      </c>
      <c r="G141" s="2">
        <v>1136</v>
      </c>
      <c r="H141" s="3">
        <v>60.81</v>
      </c>
      <c r="I141">
        <v>58.25</v>
      </c>
      <c r="J141">
        <v>62</v>
      </c>
      <c r="K141" t="s">
        <v>16</v>
      </c>
      <c r="L141" s="3">
        <f t="shared" si="2"/>
        <v>66172</v>
      </c>
    </row>
    <row r="142" spans="1:12">
      <c r="A142" t="s">
        <v>168</v>
      </c>
      <c r="B142" t="s">
        <v>38</v>
      </c>
      <c r="C142" s="1">
        <v>45172</v>
      </c>
      <c r="D142" s="1">
        <v>45176</v>
      </c>
      <c r="E142" t="s">
        <v>22</v>
      </c>
      <c r="F142" t="s">
        <v>19</v>
      </c>
      <c r="G142" s="2">
        <v>1212</v>
      </c>
      <c r="H142" s="3">
        <v>87.46</v>
      </c>
      <c r="I142">
        <v>74.55</v>
      </c>
      <c r="J142">
        <v>118</v>
      </c>
      <c r="K142" t="s">
        <v>27</v>
      </c>
      <c r="L142" s="3">
        <f t="shared" si="2"/>
        <v>90354.599999999991</v>
      </c>
    </row>
    <row r="143" spans="1:12">
      <c r="A143" t="s">
        <v>169</v>
      </c>
      <c r="B143" t="s">
        <v>29</v>
      </c>
      <c r="C143" s="1">
        <v>44627</v>
      </c>
      <c r="D143" s="1">
        <v>44632</v>
      </c>
      <c r="E143" t="s">
        <v>22</v>
      </c>
      <c r="F143" t="s">
        <v>19</v>
      </c>
      <c r="G143" s="2">
        <v>1572</v>
      </c>
      <c r="H143" s="3">
        <v>57.38</v>
      </c>
      <c r="I143">
        <v>49.32</v>
      </c>
      <c r="J143">
        <v>40</v>
      </c>
      <c r="K143" t="s">
        <v>16</v>
      </c>
      <c r="L143" s="3">
        <f t="shared" si="2"/>
        <v>77531.039999999994</v>
      </c>
    </row>
    <row r="144" spans="1:12">
      <c r="A144" t="s">
        <v>170</v>
      </c>
      <c r="B144" t="s">
        <v>21</v>
      </c>
      <c r="C144" s="1">
        <v>44956</v>
      </c>
      <c r="D144" s="1">
        <v>44966</v>
      </c>
      <c r="E144" t="s">
        <v>40</v>
      </c>
      <c r="F144" t="s">
        <v>19</v>
      </c>
      <c r="G144">
        <v>642</v>
      </c>
      <c r="H144" s="3">
        <v>91.9</v>
      </c>
      <c r="I144">
        <v>81.489999999999995</v>
      </c>
      <c r="J144">
        <v>26</v>
      </c>
      <c r="K144" t="s">
        <v>16</v>
      </c>
      <c r="L144" s="3">
        <f t="shared" si="2"/>
        <v>52316.579999999994</v>
      </c>
    </row>
    <row r="145" spans="1:12">
      <c r="A145" t="s">
        <v>171</v>
      </c>
      <c r="B145" t="s">
        <v>29</v>
      </c>
      <c r="C145" s="1">
        <v>44952</v>
      </c>
      <c r="D145" s="1">
        <v>44961</v>
      </c>
      <c r="E145" t="s">
        <v>14</v>
      </c>
      <c r="F145" t="s">
        <v>19</v>
      </c>
      <c r="G145">
        <v>441</v>
      </c>
      <c r="H145" s="3">
        <v>63.25</v>
      </c>
      <c r="I145">
        <v>54.12</v>
      </c>
      <c r="J145">
        <v>16</v>
      </c>
      <c r="K145" t="s">
        <v>16</v>
      </c>
      <c r="L145" s="3">
        <f t="shared" si="2"/>
        <v>23866.92</v>
      </c>
    </row>
    <row r="146" spans="1:12">
      <c r="A146" t="s">
        <v>172</v>
      </c>
      <c r="B146" t="s">
        <v>29</v>
      </c>
      <c r="C146" s="1">
        <v>45172</v>
      </c>
      <c r="D146" s="1">
        <v>45188</v>
      </c>
      <c r="E146" t="s">
        <v>14</v>
      </c>
      <c r="F146" t="s">
        <v>19</v>
      </c>
      <c r="G146" s="2">
        <v>1748</v>
      </c>
      <c r="H146" s="3">
        <v>66.53</v>
      </c>
      <c r="I146">
        <v>57.11</v>
      </c>
      <c r="K146" t="s">
        <v>16</v>
      </c>
      <c r="L146" s="3">
        <f t="shared" si="2"/>
        <v>99828.28</v>
      </c>
    </row>
    <row r="147" spans="1:12">
      <c r="A147" t="s">
        <v>173</v>
      </c>
      <c r="B147" t="s">
        <v>21</v>
      </c>
      <c r="C147" s="1">
        <v>45041</v>
      </c>
      <c r="E147" t="s">
        <v>40</v>
      </c>
      <c r="F147" t="s">
        <v>35</v>
      </c>
      <c r="G147">
        <v>468</v>
      </c>
      <c r="H147" s="3">
        <v>95.57</v>
      </c>
      <c r="I147">
        <v>91.8</v>
      </c>
      <c r="J147">
        <v>24</v>
      </c>
      <c r="K147" t="s">
        <v>16</v>
      </c>
      <c r="L147" s="3">
        <f t="shared" si="2"/>
        <v>42962.400000000001</v>
      </c>
    </row>
    <row r="148" spans="1:12">
      <c r="A148" t="s">
        <v>174</v>
      </c>
      <c r="B148" t="s">
        <v>38</v>
      </c>
      <c r="C148" s="1">
        <v>45103</v>
      </c>
      <c r="D148" s="1">
        <v>45121</v>
      </c>
      <c r="E148" t="s">
        <v>26</v>
      </c>
      <c r="F148" t="s">
        <v>19</v>
      </c>
      <c r="G148">
        <v>338</v>
      </c>
      <c r="H148" s="3">
        <v>50.25</v>
      </c>
      <c r="I148">
        <v>46.28</v>
      </c>
      <c r="J148">
        <v>49</v>
      </c>
      <c r="K148" t="s">
        <v>27</v>
      </c>
      <c r="L148" s="3">
        <f t="shared" si="2"/>
        <v>15642.640000000001</v>
      </c>
    </row>
    <row r="149" spans="1:12">
      <c r="A149" t="s">
        <v>175</v>
      </c>
      <c r="B149" t="s">
        <v>21</v>
      </c>
      <c r="C149" s="1">
        <v>44819</v>
      </c>
      <c r="D149" s="1">
        <v>44826</v>
      </c>
      <c r="E149" t="s">
        <v>14</v>
      </c>
      <c r="F149" t="s">
        <v>19</v>
      </c>
      <c r="G149">
        <v>428</v>
      </c>
      <c r="H149" s="3">
        <v>22.94</v>
      </c>
      <c r="I149">
        <v>21.52</v>
      </c>
      <c r="J149">
        <v>26</v>
      </c>
      <c r="K149" t="s">
        <v>16</v>
      </c>
      <c r="L149" s="3">
        <f t="shared" si="2"/>
        <v>9210.56</v>
      </c>
    </row>
    <row r="150" spans="1:12">
      <c r="A150" t="s">
        <v>176</v>
      </c>
      <c r="B150" t="s">
        <v>38</v>
      </c>
      <c r="C150" s="1">
        <v>45128</v>
      </c>
      <c r="E150" t="s">
        <v>24</v>
      </c>
      <c r="F150" t="s">
        <v>19</v>
      </c>
      <c r="G150" s="2">
        <v>1846</v>
      </c>
      <c r="H150" s="3">
        <v>13.72</v>
      </c>
      <c r="I150">
        <v>12.62</v>
      </c>
      <c r="J150">
        <v>216</v>
      </c>
      <c r="K150" t="s">
        <v>16</v>
      </c>
      <c r="L150" s="3">
        <f t="shared" si="2"/>
        <v>23296.519999999997</v>
      </c>
    </row>
    <row r="151" spans="1:12">
      <c r="A151" t="s">
        <v>177</v>
      </c>
      <c r="B151" t="s">
        <v>29</v>
      </c>
      <c r="C151" s="1">
        <v>44573</v>
      </c>
      <c r="D151" s="1">
        <v>44578</v>
      </c>
      <c r="E151" t="s">
        <v>14</v>
      </c>
      <c r="F151" t="s">
        <v>19</v>
      </c>
      <c r="G151" s="2">
        <v>1563</v>
      </c>
      <c r="H151" s="3">
        <v>77.959999999999994</v>
      </c>
      <c r="I151">
        <v>70.8</v>
      </c>
      <c r="J151">
        <v>41</v>
      </c>
      <c r="K151" t="s">
        <v>16</v>
      </c>
      <c r="L151" s="3">
        <f t="shared" si="2"/>
        <v>110660.4</v>
      </c>
    </row>
    <row r="152" spans="1:12">
      <c r="A152" t="s">
        <v>178</v>
      </c>
      <c r="B152" t="s">
        <v>38</v>
      </c>
      <c r="C152" s="1">
        <v>45258</v>
      </c>
      <c r="D152" s="1">
        <v>45267</v>
      </c>
      <c r="E152" t="s">
        <v>14</v>
      </c>
      <c r="F152" t="s">
        <v>19</v>
      </c>
      <c r="G152">
        <v>280</v>
      </c>
      <c r="H152" s="3">
        <v>73.069999999999993</v>
      </c>
      <c r="I152">
        <v>69.290000000000006</v>
      </c>
      <c r="J152">
        <v>30</v>
      </c>
      <c r="K152" t="s">
        <v>16</v>
      </c>
      <c r="L152" s="3">
        <f t="shared" si="2"/>
        <v>19401.2</v>
      </c>
    </row>
    <row r="153" spans="1:12">
      <c r="A153" t="s">
        <v>179</v>
      </c>
      <c r="B153" t="s">
        <v>18</v>
      </c>
      <c r="C153" s="1">
        <v>44679</v>
      </c>
      <c r="D153" s="1">
        <v>44693</v>
      </c>
      <c r="E153" t="s">
        <v>26</v>
      </c>
      <c r="F153" t="s">
        <v>19</v>
      </c>
      <c r="G153" s="2">
        <v>1067</v>
      </c>
      <c r="H153" s="3">
        <v>74.47</v>
      </c>
      <c r="I153">
        <v>64.16</v>
      </c>
      <c r="K153" t="s">
        <v>27</v>
      </c>
      <c r="L153" s="3">
        <f t="shared" si="2"/>
        <v>68458.720000000001</v>
      </c>
    </row>
    <row r="154" spans="1:12">
      <c r="A154" t="s">
        <v>180</v>
      </c>
      <c r="B154" t="s">
        <v>21</v>
      </c>
      <c r="C154" s="1">
        <v>45260</v>
      </c>
      <c r="D154" s="1">
        <v>45277</v>
      </c>
      <c r="E154" t="s">
        <v>40</v>
      </c>
      <c r="F154" t="s">
        <v>35</v>
      </c>
      <c r="G154">
        <v>90</v>
      </c>
      <c r="H154" s="3">
        <v>32.380000000000003</v>
      </c>
      <c r="I154">
        <v>29.96</v>
      </c>
      <c r="J154">
        <v>7</v>
      </c>
      <c r="K154" t="s">
        <v>16</v>
      </c>
      <c r="L154" s="3">
        <f t="shared" si="2"/>
        <v>2696.4</v>
      </c>
    </row>
    <row r="155" spans="1:12">
      <c r="A155" t="s">
        <v>181</v>
      </c>
      <c r="B155" t="s">
        <v>21</v>
      </c>
      <c r="C155" s="1">
        <v>45111</v>
      </c>
      <c r="D155" s="1">
        <v>45112</v>
      </c>
      <c r="E155" t="s">
        <v>26</v>
      </c>
      <c r="F155" t="s">
        <v>19</v>
      </c>
      <c r="G155" s="2">
        <v>1101</v>
      </c>
      <c r="H155" s="3">
        <v>24.28</v>
      </c>
      <c r="I155">
        <v>22.73</v>
      </c>
      <c r="J155">
        <v>59</v>
      </c>
      <c r="K155" t="s">
        <v>27</v>
      </c>
      <c r="L155" s="3">
        <f t="shared" si="2"/>
        <v>25025.73</v>
      </c>
    </row>
    <row r="156" spans="1:12">
      <c r="A156" t="s">
        <v>182</v>
      </c>
      <c r="B156" t="s">
        <v>13</v>
      </c>
      <c r="C156" s="1">
        <v>44835</v>
      </c>
      <c r="D156" s="1">
        <v>44845</v>
      </c>
      <c r="E156" t="s">
        <v>26</v>
      </c>
      <c r="F156" t="s">
        <v>19</v>
      </c>
      <c r="G156">
        <v>184</v>
      </c>
      <c r="H156" s="3">
        <v>11.82</v>
      </c>
      <c r="I156">
        <v>10.51</v>
      </c>
      <c r="J156">
        <v>4</v>
      </c>
      <c r="K156" t="s">
        <v>16</v>
      </c>
      <c r="L156" s="3">
        <f t="shared" si="2"/>
        <v>1933.84</v>
      </c>
    </row>
    <row r="157" spans="1:12">
      <c r="A157" t="s">
        <v>183</v>
      </c>
      <c r="B157" t="s">
        <v>29</v>
      </c>
      <c r="C157" s="1">
        <v>45218</v>
      </c>
      <c r="D157" s="1">
        <v>45237</v>
      </c>
      <c r="E157" t="s">
        <v>40</v>
      </c>
      <c r="F157" t="s">
        <v>19</v>
      </c>
      <c r="G157">
        <v>250</v>
      </c>
      <c r="H157" s="3">
        <v>45.92</v>
      </c>
      <c r="I157">
        <v>41.02</v>
      </c>
      <c r="J157">
        <v>3</v>
      </c>
      <c r="K157" t="s">
        <v>16</v>
      </c>
      <c r="L157" s="3">
        <f t="shared" si="2"/>
        <v>10255</v>
      </c>
    </row>
    <row r="158" spans="1:12">
      <c r="A158" t="s">
        <v>184</v>
      </c>
      <c r="B158" t="s">
        <v>29</v>
      </c>
      <c r="C158" s="1">
        <v>44910</v>
      </c>
      <c r="E158" t="s">
        <v>24</v>
      </c>
      <c r="F158" t="s">
        <v>15</v>
      </c>
      <c r="G158" s="2">
        <v>1913</v>
      </c>
      <c r="H158" s="3">
        <v>66.56</v>
      </c>
      <c r="I158">
        <v>61.34</v>
      </c>
      <c r="J158">
        <v>61</v>
      </c>
      <c r="K158" t="s">
        <v>16</v>
      </c>
      <c r="L158" s="3">
        <f t="shared" si="2"/>
        <v>117343.42000000001</v>
      </c>
    </row>
    <row r="159" spans="1:12">
      <c r="A159" t="s">
        <v>185</v>
      </c>
      <c r="B159" t="s">
        <v>38</v>
      </c>
      <c r="C159" s="1">
        <v>44676</v>
      </c>
      <c r="D159" s="1">
        <v>44681</v>
      </c>
      <c r="E159" t="s">
        <v>40</v>
      </c>
      <c r="F159" t="s">
        <v>19</v>
      </c>
      <c r="G159">
        <v>829</v>
      </c>
      <c r="H159" s="3">
        <v>45.98</v>
      </c>
      <c r="I159">
        <v>40.39</v>
      </c>
      <c r="K159" t="s">
        <v>16</v>
      </c>
      <c r="L159" s="3">
        <f t="shared" si="2"/>
        <v>33483.31</v>
      </c>
    </row>
    <row r="160" spans="1:12">
      <c r="A160" t="s">
        <v>186</v>
      </c>
      <c r="B160" t="s">
        <v>18</v>
      </c>
      <c r="C160" s="1">
        <v>44862</v>
      </c>
      <c r="D160" s="1">
        <v>44878</v>
      </c>
      <c r="E160" t="s">
        <v>26</v>
      </c>
      <c r="F160" t="s">
        <v>19</v>
      </c>
      <c r="G160">
        <v>979</v>
      </c>
      <c r="H160" s="3">
        <v>51.59</v>
      </c>
      <c r="I160">
        <v>49.69</v>
      </c>
      <c r="J160">
        <v>148</v>
      </c>
      <c r="K160" t="s">
        <v>16</v>
      </c>
      <c r="L160" s="3">
        <f t="shared" si="2"/>
        <v>48646.509999999995</v>
      </c>
    </row>
    <row r="161" spans="1:12">
      <c r="A161" t="s">
        <v>187</v>
      </c>
      <c r="B161" t="s">
        <v>29</v>
      </c>
      <c r="C161" s="1">
        <v>45007</v>
      </c>
      <c r="D161" s="1">
        <v>45025</v>
      </c>
      <c r="E161" t="s">
        <v>40</v>
      </c>
      <c r="F161" t="s">
        <v>33</v>
      </c>
      <c r="G161" s="2">
        <v>1106</v>
      </c>
      <c r="H161" s="3">
        <v>97.77</v>
      </c>
      <c r="I161">
        <v>90.45</v>
      </c>
      <c r="J161">
        <v>31</v>
      </c>
      <c r="K161" t="s">
        <v>16</v>
      </c>
      <c r="L161" s="3">
        <f t="shared" si="2"/>
        <v>100037.7</v>
      </c>
    </row>
    <row r="162" spans="1:12">
      <c r="A162" t="s">
        <v>188</v>
      </c>
      <c r="B162" t="s">
        <v>18</v>
      </c>
      <c r="C162" s="1">
        <v>44723</v>
      </c>
      <c r="D162" s="1">
        <v>44736</v>
      </c>
      <c r="E162" t="s">
        <v>14</v>
      </c>
      <c r="F162" t="s">
        <v>35</v>
      </c>
      <c r="G162" s="2">
        <v>1121</v>
      </c>
      <c r="H162" s="3">
        <v>42.38</v>
      </c>
      <c r="I162">
        <v>38.340000000000003</v>
      </c>
      <c r="J162">
        <v>152</v>
      </c>
      <c r="K162" t="s">
        <v>16</v>
      </c>
      <c r="L162" s="3">
        <f t="shared" si="2"/>
        <v>42979.140000000007</v>
      </c>
    </row>
    <row r="163" spans="1:12">
      <c r="A163" t="s">
        <v>189</v>
      </c>
      <c r="B163" t="s">
        <v>13</v>
      </c>
      <c r="C163" s="1">
        <v>45026</v>
      </c>
      <c r="D163" s="1">
        <v>45037</v>
      </c>
      <c r="E163" t="s">
        <v>14</v>
      </c>
      <c r="F163" t="s">
        <v>19</v>
      </c>
      <c r="G163">
        <v>552</v>
      </c>
      <c r="H163" s="3">
        <v>60.48</v>
      </c>
      <c r="I163">
        <v>56.78</v>
      </c>
      <c r="J163">
        <v>10</v>
      </c>
      <c r="K163" t="s">
        <v>16</v>
      </c>
      <c r="L163" s="3">
        <f t="shared" si="2"/>
        <v>31342.560000000001</v>
      </c>
    </row>
    <row r="164" spans="1:12">
      <c r="A164" t="s">
        <v>190</v>
      </c>
      <c r="B164" t="s">
        <v>21</v>
      </c>
      <c r="C164" s="1">
        <v>44565</v>
      </c>
      <c r="D164" s="1">
        <v>44573</v>
      </c>
      <c r="E164" t="s">
        <v>24</v>
      </c>
      <c r="F164" t="s">
        <v>19</v>
      </c>
      <c r="G164">
        <v>456</v>
      </c>
      <c r="H164" s="3">
        <v>80.53</v>
      </c>
      <c r="I164">
        <v>77.86</v>
      </c>
      <c r="J164">
        <v>26</v>
      </c>
      <c r="K164" t="s">
        <v>16</v>
      </c>
      <c r="L164" s="3">
        <f t="shared" si="2"/>
        <v>35504.159999999996</v>
      </c>
    </row>
    <row r="165" spans="1:12">
      <c r="A165" t="s">
        <v>191</v>
      </c>
      <c r="B165" t="s">
        <v>18</v>
      </c>
      <c r="C165" s="1">
        <v>44831</v>
      </c>
      <c r="D165" s="1">
        <v>44839</v>
      </c>
      <c r="E165" t="s">
        <v>24</v>
      </c>
      <c r="F165" t="s">
        <v>19</v>
      </c>
      <c r="G165" s="2">
        <v>1647</v>
      </c>
      <c r="H165" s="3">
        <v>47.52</v>
      </c>
      <c r="I165">
        <v>44.92</v>
      </c>
      <c r="K165" t="s">
        <v>16</v>
      </c>
      <c r="L165" s="3">
        <f t="shared" si="2"/>
        <v>73983.240000000005</v>
      </c>
    </row>
    <row r="166" spans="1:12">
      <c r="A166" t="s">
        <v>192</v>
      </c>
      <c r="B166" t="s">
        <v>29</v>
      </c>
      <c r="C166" s="1">
        <v>45074</v>
      </c>
      <c r="D166" s="1">
        <v>45088</v>
      </c>
      <c r="E166" t="s">
        <v>40</v>
      </c>
      <c r="F166" t="s">
        <v>35</v>
      </c>
      <c r="G166" s="2">
        <v>1801</v>
      </c>
      <c r="H166" s="3">
        <v>71.27</v>
      </c>
      <c r="I166">
        <v>61.24</v>
      </c>
      <c r="J166">
        <v>43</v>
      </c>
      <c r="K166" t="s">
        <v>16</v>
      </c>
      <c r="L166" s="3">
        <f t="shared" si="2"/>
        <v>110293.24</v>
      </c>
    </row>
    <row r="167" spans="1:12">
      <c r="A167" t="s">
        <v>193</v>
      </c>
      <c r="B167" t="s">
        <v>21</v>
      </c>
      <c r="C167" s="1">
        <v>44744</v>
      </c>
      <c r="D167" s="1">
        <v>44760</v>
      </c>
      <c r="E167" t="s">
        <v>40</v>
      </c>
      <c r="F167" t="s">
        <v>19</v>
      </c>
      <c r="G167">
        <v>854</v>
      </c>
      <c r="H167" s="3">
        <v>90.24</v>
      </c>
      <c r="I167">
        <v>85.53</v>
      </c>
      <c r="K167" t="s">
        <v>16</v>
      </c>
      <c r="L167" s="3">
        <f t="shared" si="2"/>
        <v>73042.62</v>
      </c>
    </row>
    <row r="168" spans="1:12">
      <c r="A168" t="s">
        <v>194</v>
      </c>
      <c r="B168" t="s">
        <v>18</v>
      </c>
      <c r="C168" s="1">
        <v>45081</v>
      </c>
      <c r="D168" s="1">
        <v>45094</v>
      </c>
      <c r="E168" t="s">
        <v>40</v>
      </c>
      <c r="F168" t="s">
        <v>19</v>
      </c>
      <c r="G168">
        <v>148</v>
      </c>
      <c r="H168" s="3">
        <v>103.57</v>
      </c>
      <c r="I168">
        <v>98.62</v>
      </c>
      <c r="J168">
        <v>23</v>
      </c>
      <c r="K168" t="s">
        <v>27</v>
      </c>
      <c r="L168" s="3">
        <f t="shared" si="2"/>
        <v>14595.76</v>
      </c>
    </row>
    <row r="169" spans="1:12">
      <c r="A169" t="s">
        <v>195</v>
      </c>
      <c r="B169" t="s">
        <v>18</v>
      </c>
      <c r="C169" s="1">
        <v>44670</v>
      </c>
      <c r="D169" s="1">
        <v>44675</v>
      </c>
      <c r="E169" t="s">
        <v>22</v>
      </c>
      <c r="F169" t="s">
        <v>19</v>
      </c>
      <c r="G169">
        <v>733</v>
      </c>
      <c r="H169" s="3">
        <v>23.59</v>
      </c>
      <c r="I169">
        <v>22.85</v>
      </c>
      <c r="J169">
        <v>92</v>
      </c>
      <c r="K169" t="s">
        <v>16</v>
      </c>
      <c r="L169" s="3">
        <f t="shared" si="2"/>
        <v>16749.05</v>
      </c>
    </row>
    <row r="170" spans="1:12">
      <c r="A170" t="s">
        <v>196</v>
      </c>
      <c r="B170" t="s">
        <v>38</v>
      </c>
      <c r="C170" s="1">
        <v>45202</v>
      </c>
      <c r="D170" s="1">
        <v>45204</v>
      </c>
      <c r="E170" t="s">
        <v>26</v>
      </c>
      <c r="F170" t="s">
        <v>19</v>
      </c>
      <c r="G170" s="2">
        <v>1945</v>
      </c>
      <c r="H170" s="3">
        <v>103.2</v>
      </c>
      <c r="I170">
        <v>88.56</v>
      </c>
      <c r="K170" t="s">
        <v>16</v>
      </c>
      <c r="L170" s="3">
        <f t="shared" si="2"/>
        <v>172249.2</v>
      </c>
    </row>
    <row r="171" spans="1:12">
      <c r="A171" t="s">
        <v>197</v>
      </c>
      <c r="B171" t="s">
        <v>21</v>
      </c>
      <c r="C171" s="1">
        <v>44867</v>
      </c>
      <c r="D171" s="1">
        <v>44886</v>
      </c>
      <c r="E171" t="s">
        <v>26</v>
      </c>
      <c r="F171" t="s">
        <v>19</v>
      </c>
      <c r="G171">
        <v>775</v>
      </c>
      <c r="H171" s="3">
        <v>57</v>
      </c>
      <c r="I171">
        <v>49.14</v>
      </c>
      <c r="J171">
        <v>48</v>
      </c>
      <c r="K171" t="s">
        <v>16</v>
      </c>
      <c r="L171" s="3">
        <f t="shared" si="2"/>
        <v>38083.5</v>
      </c>
    </row>
    <row r="172" spans="1:12">
      <c r="A172" t="s">
        <v>198</v>
      </c>
      <c r="B172" t="s">
        <v>18</v>
      </c>
      <c r="C172" s="1">
        <v>45216</v>
      </c>
      <c r="D172" s="1">
        <v>45220</v>
      </c>
      <c r="E172" t="s">
        <v>24</v>
      </c>
      <c r="F172" t="s">
        <v>19</v>
      </c>
      <c r="G172" s="2">
        <v>1620</v>
      </c>
      <c r="H172" s="3">
        <v>36.729999999999997</v>
      </c>
      <c r="I172">
        <v>33.450000000000003</v>
      </c>
      <c r="J172">
        <v>235</v>
      </c>
      <c r="K172" t="s">
        <v>27</v>
      </c>
      <c r="L172" s="3">
        <f t="shared" si="2"/>
        <v>54189.000000000007</v>
      </c>
    </row>
    <row r="173" spans="1:12">
      <c r="A173" t="s">
        <v>199</v>
      </c>
      <c r="B173" t="s">
        <v>38</v>
      </c>
      <c r="C173" s="1">
        <v>45081</v>
      </c>
      <c r="D173" s="1">
        <v>45096</v>
      </c>
      <c r="E173" t="s">
        <v>14</v>
      </c>
      <c r="F173" t="s">
        <v>19</v>
      </c>
      <c r="G173" s="2">
        <v>1010</v>
      </c>
      <c r="H173" s="3">
        <v>55.68</v>
      </c>
      <c r="I173">
        <v>50.86</v>
      </c>
      <c r="K173" t="s">
        <v>16</v>
      </c>
      <c r="L173" s="3">
        <f t="shared" si="2"/>
        <v>51368.6</v>
      </c>
    </row>
    <row r="174" spans="1:12">
      <c r="A174" t="s">
        <v>200</v>
      </c>
      <c r="B174" t="s">
        <v>29</v>
      </c>
      <c r="C174" s="1">
        <v>45185</v>
      </c>
      <c r="D174" s="1">
        <v>45200</v>
      </c>
      <c r="E174" t="s">
        <v>14</v>
      </c>
      <c r="F174" t="s">
        <v>19</v>
      </c>
      <c r="G174" s="2">
        <v>1812</v>
      </c>
      <c r="H174" s="3">
        <v>108.02</v>
      </c>
      <c r="I174">
        <v>101.02</v>
      </c>
      <c r="J174">
        <v>51</v>
      </c>
      <c r="K174" t="s">
        <v>16</v>
      </c>
      <c r="L174" s="3">
        <f t="shared" si="2"/>
        <v>183048.24</v>
      </c>
    </row>
    <row r="175" spans="1:12">
      <c r="A175" t="s">
        <v>201</v>
      </c>
      <c r="B175" t="s">
        <v>18</v>
      </c>
      <c r="C175" s="1">
        <v>44765</v>
      </c>
      <c r="D175" s="1">
        <v>44770</v>
      </c>
      <c r="E175" t="s">
        <v>14</v>
      </c>
      <c r="F175" t="s">
        <v>19</v>
      </c>
      <c r="G175">
        <v>662</v>
      </c>
      <c r="H175" s="3">
        <v>55.97</v>
      </c>
      <c r="I175">
        <v>50</v>
      </c>
      <c r="J175">
        <v>100</v>
      </c>
      <c r="K175" t="s">
        <v>16</v>
      </c>
      <c r="L175" s="3">
        <f t="shared" si="2"/>
        <v>33100</v>
      </c>
    </row>
    <row r="176" spans="1:12">
      <c r="A176" t="s">
        <v>202</v>
      </c>
      <c r="B176" t="s">
        <v>38</v>
      </c>
      <c r="C176" s="1">
        <v>44718</v>
      </c>
      <c r="D176" s="1">
        <v>44723</v>
      </c>
      <c r="E176" t="s">
        <v>14</v>
      </c>
      <c r="F176" t="s">
        <v>35</v>
      </c>
      <c r="G176" s="2">
        <v>1535</v>
      </c>
      <c r="H176" s="3">
        <v>40.58</v>
      </c>
      <c r="I176">
        <v>38.71</v>
      </c>
      <c r="J176">
        <v>165</v>
      </c>
      <c r="K176" t="s">
        <v>16</v>
      </c>
      <c r="L176" s="3">
        <f t="shared" si="2"/>
        <v>59419.85</v>
      </c>
    </row>
    <row r="177" spans="1:12">
      <c r="A177" t="s">
        <v>203</v>
      </c>
      <c r="B177" t="s">
        <v>38</v>
      </c>
      <c r="C177" s="1">
        <v>44944</v>
      </c>
      <c r="D177" s="1">
        <v>44953</v>
      </c>
      <c r="E177" t="s">
        <v>26</v>
      </c>
      <c r="F177" t="s">
        <v>19</v>
      </c>
      <c r="G177">
        <v>692</v>
      </c>
      <c r="H177" s="3">
        <v>71.03</v>
      </c>
      <c r="I177">
        <v>67.739999999999995</v>
      </c>
      <c r="J177">
        <v>70</v>
      </c>
      <c r="K177" t="s">
        <v>16</v>
      </c>
      <c r="L177" s="3">
        <f t="shared" si="2"/>
        <v>46876.079999999994</v>
      </c>
    </row>
    <row r="178" spans="1:12">
      <c r="A178" t="s">
        <v>204</v>
      </c>
      <c r="B178" t="s">
        <v>21</v>
      </c>
      <c r="C178" s="1">
        <v>44727</v>
      </c>
      <c r="D178" s="1">
        <v>44740</v>
      </c>
      <c r="E178" t="s">
        <v>22</v>
      </c>
      <c r="F178" t="s">
        <v>19</v>
      </c>
      <c r="G178" s="2">
        <v>1842</v>
      </c>
      <c r="H178" s="3">
        <v>32.4</v>
      </c>
      <c r="I178">
        <v>28.08</v>
      </c>
      <c r="J178">
        <v>96</v>
      </c>
      <c r="K178" t="s">
        <v>16</v>
      </c>
      <c r="L178" s="3">
        <f t="shared" si="2"/>
        <v>51723.359999999993</v>
      </c>
    </row>
    <row r="179" spans="1:12">
      <c r="A179" t="s">
        <v>205</v>
      </c>
      <c r="B179" t="s">
        <v>38</v>
      </c>
      <c r="C179" s="1">
        <v>45114</v>
      </c>
      <c r="D179" s="1">
        <v>45125</v>
      </c>
      <c r="E179" t="s">
        <v>14</v>
      </c>
      <c r="F179" t="s">
        <v>15</v>
      </c>
      <c r="G179" s="2">
        <v>1078</v>
      </c>
      <c r="H179" s="3">
        <v>18.34</v>
      </c>
      <c r="I179">
        <v>17.41</v>
      </c>
      <c r="J179">
        <v>102</v>
      </c>
      <c r="K179" t="s">
        <v>16</v>
      </c>
      <c r="L179" s="3">
        <f t="shared" si="2"/>
        <v>18767.98</v>
      </c>
    </row>
    <row r="180" spans="1:12">
      <c r="A180" t="s">
        <v>206</v>
      </c>
      <c r="B180" t="s">
        <v>18</v>
      </c>
      <c r="C180" s="1">
        <v>45105</v>
      </c>
      <c r="D180" s="1">
        <v>45123</v>
      </c>
      <c r="E180" t="s">
        <v>24</v>
      </c>
      <c r="F180" t="s">
        <v>19</v>
      </c>
      <c r="G180" s="2">
        <v>1291</v>
      </c>
      <c r="H180" s="3">
        <v>23.44</v>
      </c>
      <c r="I180">
        <v>22.23</v>
      </c>
      <c r="K180" t="s">
        <v>16</v>
      </c>
      <c r="L180" s="3">
        <f t="shared" si="2"/>
        <v>28698.93</v>
      </c>
    </row>
    <row r="181" spans="1:12">
      <c r="A181" t="s">
        <v>207</v>
      </c>
      <c r="B181" t="s">
        <v>13</v>
      </c>
      <c r="C181" s="1">
        <v>44562</v>
      </c>
      <c r="D181" s="1">
        <v>44573</v>
      </c>
      <c r="E181" t="s">
        <v>40</v>
      </c>
      <c r="F181" t="s">
        <v>19</v>
      </c>
      <c r="G181">
        <v>552</v>
      </c>
      <c r="H181" s="3">
        <v>21.52</v>
      </c>
      <c r="I181">
        <v>18.79</v>
      </c>
      <c r="J181">
        <v>13</v>
      </c>
      <c r="K181" t="s">
        <v>16</v>
      </c>
      <c r="L181" s="3">
        <f t="shared" si="2"/>
        <v>10372.08</v>
      </c>
    </row>
    <row r="182" spans="1:12">
      <c r="A182" t="s">
        <v>208</v>
      </c>
      <c r="B182" t="s">
        <v>29</v>
      </c>
      <c r="C182" s="1">
        <v>45175</v>
      </c>
      <c r="D182" s="1">
        <v>45191</v>
      </c>
      <c r="E182" t="s">
        <v>40</v>
      </c>
      <c r="F182" t="s">
        <v>19</v>
      </c>
      <c r="G182">
        <v>816</v>
      </c>
      <c r="H182" s="3">
        <v>26.04</v>
      </c>
      <c r="I182">
        <v>25.61</v>
      </c>
      <c r="J182">
        <v>28</v>
      </c>
      <c r="K182" t="s">
        <v>16</v>
      </c>
      <c r="L182" s="3">
        <f t="shared" si="2"/>
        <v>20897.759999999998</v>
      </c>
    </row>
    <row r="183" spans="1:12">
      <c r="A183" t="s">
        <v>209</v>
      </c>
      <c r="B183" t="s">
        <v>18</v>
      </c>
      <c r="C183" s="1">
        <v>44893</v>
      </c>
      <c r="D183" s="1">
        <v>44895</v>
      </c>
      <c r="E183" t="s">
        <v>24</v>
      </c>
      <c r="F183" t="s">
        <v>19</v>
      </c>
      <c r="G183">
        <v>447</v>
      </c>
      <c r="H183" s="3">
        <v>23.62</v>
      </c>
      <c r="I183">
        <v>21.81</v>
      </c>
      <c r="J183">
        <v>50</v>
      </c>
      <c r="K183" t="s">
        <v>16</v>
      </c>
      <c r="L183" s="3">
        <f t="shared" si="2"/>
        <v>9749.07</v>
      </c>
    </row>
    <row r="184" spans="1:12">
      <c r="A184" t="s">
        <v>210</v>
      </c>
      <c r="B184" t="s">
        <v>18</v>
      </c>
      <c r="C184" s="1">
        <v>45062</v>
      </c>
      <c r="D184" s="1">
        <v>45070</v>
      </c>
      <c r="E184" t="s">
        <v>24</v>
      </c>
      <c r="F184" t="s">
        <v>33</v>
      </c>
      <c r="G184">
        <v>920</v>
      </c>
      <c r="H184" s="3">
        <v>73.09</v>
      </c>
      <c r="I184">
        <v>70.14</v>
      </c>
      <c r="K184" t="s">
        <v>16</v>
      </c>
      <c r="L184" s="3">
        <f t="shared" si="2"/>
        <v>64528.800000000003</v>
      </c>
    </row>
    <row r="185" spans="1:12">
      <c r="A185" t="s">
        <v>211</v>
      </c>
      <c r="B185" t="s">
        <v>29</v>
      </c>
      <c r="C185" s="1">
        <v>44581</v>
      </c>
      <c r="D185" s="1">
        <v>44591</v>
      </c>
      <c r="E185" t="s">
        <v>24</v>
      </c>
      <c r="F185" t="s">
        <v>33</v>
      </c>
      <c r="G185">
        <v>844</v>
      </c>
      <c r="H185" s="3">
        <v>26.37</v>
      </c>
      <c r="I185">
        <v>25.08</v>
      </c>
      <c r="J185">
        <v>38</v>
      </c>
      <c r="K185" t="s">
        <v>16</v>
      </c>
      <c r="L185" s="3">
        <f t="shared" si="2"/>
        <v>21167.519999999997</v>
      </c>
    </row>
    <row r="186" spans="1:12">
      <c r="A186" t="s">
        <v>212</v>
      </c>
      <c r="B186" t="s">
        <v>29</v>
      </c>
      <c r="C186" s="1">
        <v>44676</v>
      </c>
      <c r="E186" t="s">
        <v>22</v>
      </c>
      <c r="F186" t="s">
        <v>19</v>
      </c>
      <c r="G186">
        <v>442</v>
      </c>
      <c r="H186" s="3">
        <v>41.73</v>
      </c>
      <c r="I186">
        <v>36.450000000000003</v>
      </c>
      <c r="J186">
        <v>15</v>
      </c>
      <c r="K186" t="s">
        <v>16</v>
      </c>
      <c r="L186" s="3">
        <f t="shared" si="2"/>
        <v>16110.900000000001</v>
      </c>
    </row>
    <row r="187" spans="1:12">
      <c r="A187" t="s">
        <v>213</v>
      </c>
      <c r="B187" t="s">
        <v>38</v>
      </c>
      <c r="C187" s="1">
        <v>44933</v>
      </c>
      <c r="D187" s="1">
        <v>44947</v>
      </c>
      <c r="E187" t="s">
        <v>40</v>
      </c>
      <c r="F187" t="s">
        <v>15</v>
      </c>
      <c r="G187">
        <v>256</v>
      </c>
      <c r="H187" s="3">
        <v>96.15</v>
      </c>
      <c r="I187">
        <v>83.44</v>
      </c>
      <c r="J187">
        <v>26</v>
      </c>
      <c r="K187" t="s">
        <v>16</v>
      </c>
      <c r="L187" s="3">
        <f t="shared" si="2"/>
        <v>21360.639999999999</v>
      </c>
    </row>
    <row r="188" spans="1:12">
      <c r="A188" t="s">
        <v>214</v>
      </c>
      <c r="B188" t="s">
        <v>18</v>
      </c>
      <c r="C188" s="1">
        <v>44876</v>
      </c>
      <c r="E188" t="s">
        <v>22</v>
      </c>
      <c r="F188" t="s">
        <v>33</v>
      </c>
      <c r="G188" s="2">
        <v>1088</v>
      </c>
      <c r="H188" s="3">
        <v>55.29</v>
      </c>
      <c r="I188">
        <v>53.04</v>
      </c>
      <c r="J188">
        <v>161</v>
      </c>
      <c r="K188" t="s">
        <v>27</v>
      </c>
      <c r="L188" s="3">
        <f t="shared" si="2"/>
        <v>57707.519999999997</v>
      </c>
    </row>
    <row r="189" spans="1:12">
      <c r="A189" t="s">
        <v>215</v>
      </c>
      <c r="B189" t="s">
        <v>38</v>
      </c>
      <c r="C189" s="1">
        <v>44807</v>
      </c>
      <c r="D189" s="1">
        <v>44811</v>
      </c>
      <c r="E189" t="s">
        <v>14</v>
      </c>
      <c r="F189" t="s">
        <v>19</v>
      </c>
      <c r="G189" s="2">
        <v>1931</v>
      </c>
      <c r="H189" s="3">
        <v>72.88</v>
      </c>
      <c r="I189">
        <v>64.69</v>
      </c>
      <c r="J189">
        <v>187</v>
      </c>
      <c r="K189" t="s">
        <v>16</v>
      </c>
      <c r="L189" s="3">
        <f t="shared" si="2"/>
        <v>124916.39</v>
      </c>
    </row>
    <row r="190" spans="1:12">
      <c r="A190" t="s">
        <v>216</v>
      </c>
      <c r="B190" t="s">
        <v>21</v>
      </c>
      <c r="C190" s="1">
        <v>44621</v>
      </c>
      <c r="D190" s="1">
        <v>44631</v>
      </c>
      <c r="E190" t="s">
        <v>40</v>
      </c>
      <c r="F190" t="s">
        <v>19</v>
      </c>
      <c r="G190" s="2">
        <v>1627</v>
      </c>
      <c r="H190" s="3">
        <v>25.76</v>
      </c>
      <c r="I190">
        <v>25.09</v>
      </c>
      <c r="J190">
        <v>74</v>
      </c>
      <c r="K190" t="s">
        <v>16</v>
      </c>
      <c r="L190" s="3">
        <f t="shared" si="2"/>
        <v>40821.43</v>
      </c>
    </row>
    <row r="191" spans="1:12">
      <c r="A191" t="s">
        <v>217</v>
      </c>
      <c r="B191" t="s">
        <v>38</v>
      </c>
      <c r="C191" s="1">
        <v>44808</v>
      </c>
      <c r="E191" t="s">
        <v>24</v>
      </c>
      <c r="F191" t="s">
        <v>19</v>
      </c>
      <c r="G191">
        <v>941</v>
      </c>
      <c r="H191" s="3">
        <v>28.4</v>
      </c>
      <c r="I191">
        <v>27.21</v>
      </c>
      <c r="K191" t="s">
        <v>27</v>
      </c>
      <c r="L191" s="3">
        <f t="shared" si="2"/>
        <v>25604.61</v>
      </c>
    </row>
    <row r="192" spans="1:12">
      <c r="A192" t="s">
        <v>218</v>
      </c>
      <c r="B192" t="s">
        <v>21</v>
      </c>
      <c r="C192" s="1">
        <v>45142</v>
      </c>
      <c r="D192" s="1">
        <v>45144</v>
      </c>
      <c r="E192" t="s">
        <v>22</v>
      </c>
      <c r="F192" t="s">
        <v>19</v>
      </c>
      <c r="G192" s="2">
        <v>1534</v>
      </c>
      <c r="H192" s="3">
        <v>14.98</v>
      </c>
      <c r="I192">
        <v>12.79</v>
      </c>
      <c r="K192" t="s">
        <v>16</v>
      </c>
      <c r="L192" s="3">
        <f t="shared" si="2"/>
        <v>19619.859999999997</v>
      </c>
    </row>
    <row r="193" spans="1:12">
      <c r="A193" t="s">
        <v>219</v>
      </c>
      <c r="B193" t="s">
        <v>13</v>
      </c>
      <c r="C193" s="1">
        <v>44642</v>
      </c>
      <c r="D193" s="1">
        <v>44654</v>
      </c>
      <c r="E193" t="s">
        <v>26</v>
      </c>
      <c r="F193" t="s">
        <v>19</v>
      </c>
      <c r="G193" s="2">
        <v>1764</v>
      </c>
      <c r="H193" s="3">
        <v>25.46</v>
      </c>
      <c r="I193">
        <v>24.52</v>
      </c>
      <c r="J193">
        <v>46</v>
      </c>
      <c r="K193" t="s">
        <v>16</v>
      </c>
      <c r="L193" s="3">
        <f t="shared" si="2"/>
        <v>43253.279999999999</v>
      </c>
    </row>
    <row r="194" spans="1:12">
      <c r="A194" t="s">
        <v>220</v>
      </c>
      <c r="B194" t="s">
        <v>18</v>
      </c>
      <c r="C194" s="1">
        <v>44649</v>
      </c>
      <c r="D194" s="1">
        <v>44657</v>
      </c>
      <c r="E194" t="s">
        <v>40</v>
      </c>
      <c r="F194" t="s">
        <v>19</v>
      </c>
      <c r="G194" s="2">
        <v>1648</v>
      </c>
      <c r="H194" s="3">
        <v>35.42</v>
      </c>
      <c r="I194">
        <v>31.46</v>
      </c>
      <c r="K194" t="s">
        <v>27</v>
      </c>
      <c r="L194" s="3">
        <f t="shared" si="2"/>
        <v>51846.080000000002</v>
      </c>
    </row>
    <row r="195" spans="1:12">
      <c r="A195" t="s">
        <v>221</v>
      </c>
      <c r="B195" t="s">
        <v>21</v>
      </c>
      <c r="C195" s="1">
        <v>45059</v>
      </c>
      <c r="D195" s="1">
        <v>45078</v>
      </c>
      <c r="E195" t="s">
        <v>24</v>
      </c>
      <c r="F195" t="s">
        <v>19</v>
      </c>
      <c r="G195">
        <v>913</v>
      </c>
      <c r="H195" s="3">
        <v>28.01</v>
      </c>
      <c r="I195">
        <v>24.06</v>
      </c>
      <c r="J195">
        <v>53</v>
      </c>
      <c r="K195" t="s">
        <v>16</v>
      </c>
      <c r="L195" s="3">
        <f t="shared" ref="L195:L258" si="3">I195*G195</f>
        <v>21966.78</v>
      </c>
    </row>
    <row r="196" spans="1:12">
      <c r="A196" t="s">
        <v>222</v>
      </c>
      <c r="B196" t="s">
        <v>13</v>
      </c>
      <c r="C196" s="1">
        <v>44632</v>
      </c>
      <c r="D196" s="1">
        <v>44638</v>
      </c>
      <c r="E196" t="s">
        <v>24</v>
      </c>
      <c r="F196" t="s">
        <v>15</v>
      </c>
      <c r="G196">
        <v>792</v>
      </c>
      <c r="H196" s="3">
        <v>18.16</v>
      </c>
      <c r="I196">
        <v>17.25</v>
      </c>
      <c r="J196">
        <v>17</v>
      </c>
      <c r="K196" t="s">
        <v>16</v>
      </c>
      <c r="L196" s="3">
        <f t="shared" si="3"/>
        <v>13662</v>
      </c>
    </row>
    <row r="197" spans="1:12">
      <c r="A197" t="s">
        <v>223</v>
      </c>
      <c r="B197" t="s">
        <v>29</v>
      </c>
      <c r="C197" s="1">
        <v>45107</v>
      </c>
      <c r="D197" s="1">
        <v>45110</v>
      </c>
      <c r="E197" t="s">
        <v>14</v>
      </c>
      <c r="F197" t="s">
        <v>33</v>
      </c>
      <c r="G197" s="2">
        <v>1314</v>
      </c>
      <c r="H197" s="3">
        <v>22.63</v>
      </c>
      <c r="I197">
        <v>21.06</v>
      </c>
      <c r="J197">
        <v>44</v>
      </c>
      <c r="K197" t="s">
        <v>16</v>
      </c>
      <c r="L197" s="3">
        <f t="shared" si="3"/>
        <v>27672.839999999997</v>
      </c>
    </row>
    <row r="198" spans="1:12">
      <c r="A198" t="s">
        <v>224</v>
      </c>
      <c r="B198" t="s">
        <v>38</v>
      </c>
      <c r="C198" s="1">
        <v>44690</v>
      </c>
      <c r="D198" s="1">
        <v>44703</v>
      </c>
      <c r="E198" t="s">
        <v>22</v>
      </c>
      <c r="F198" t="s">
        <v>19</v>
      </c>
      <c r="G198">
        <v>613</v>
      </c>
      <c r="H198" s="3">
        <v>52.5</v>
      </c>
      <c r="I198">
        <v>45.19</v>
      </c>
      <c r="J198">
        <v>70</v>
      </c>
      <c r="K198" t="s">
        <v>16</v>
      </c>
      <c r="L198" s="3">
        <f t="shared" si="3"/>
        <v>27701.469999999998</v>
      </c>
    </row>
    <row r="199" spans="1:12">
      <c r="A199" t="s">
        <v>225</v>
      </c>
      <c r="B199" t="s">
        <v>13</v>
      </c>
      <c r="C199" s="1">
        <v>44693</v>
      </c>
      <c r="D199" s="1">
        <v>44701</v>
      </c>
      <c r="E199" t="s">
        <v>14</v>
      </c>
      <c r="F199" t="s">
        <v>19</v>
      </c>
      <c r="G199" s="2">
        <v>1070</v>
      </c>
      <c r="H199" s="3">
        <v>29.14</v>
      </c>
      <c r="I199">
        <v>26.63</v>
      </c>
      <c r="J199">
        <v>24</v>
      </c>
      <c r="K199" t="s">
        <v>16</v>
      </c>
      <c r="L199" s="3">
        <f t="shared" si="3"/>
        <v>28494.1</v>
      </c>
    </row>
    <row r="200" spans="1:12">
      <c r="A200" t="s">
        <v>226</v>
      </c>
      <c r="B200" t="s">
        <v>21</v>
      </c>
      <c r="C200" s="1">
        <v>45237</v>
      </c>
      <c r="D200" s="1">
        <v>45256</v>
      </c>
      <c r="E200" t="s">
        <v>26</v>
      </c>
      <c r="F200" t="s">
        <v>33</v>
      </c>
      <c r="G200">
        <v>145</v>
      </c>
      <c r="H200" s="3">
        <v>47.49</v>
      </c>
      <c r="I200">
        <v>42.76</v>
      </c>
      <c r="J200">
        <v>6</v>
      </c>
      <c r="K200" t="s">
        <v>16</v>
      </c>
      <c r="L200" s="3">
        <f t="shared" si="3"/>
        <v>6200.2</v>
      </c>
    </row>
    <row r="201" spans="1:12">
      <c r="A201" t="s">
        <v>227</v>
      </c>
      <c r="B201" t="s">
        <v>18</v>
      </c>
      <c r="C201" s="1">
        <v>45048</v>
      </c>
      <c r="D201" s="1">
        <v>45063</v>
      </c>
      <c r="E201" t="s">
        <v>26</v>
      </c>
      <c r="F201" t="s">
        <v>19</v>
      </c>
      <c r="G201" s="2">
        <v>1973</v>
      </c>
      <c r="H201" s="3">
        <v>59.73</v>
      </c>
      <c r="I201">
        <v>54.95</v>
      </c>
      <c r="J201">
        <v>291</v>
      </c>
      <c r="K201" t="s">
        <v>16</v>
      </c>
      <c r="L201" s="3">
        <f t="shared" si="3"/>
        <v>108416.35</v>
      </c>
    </row>
    <row r="202" spans="1:12">
      <c r="A202" t="s">
        <v>228</v>
      </c>
      <c r="B202" t="s">
        <v>29</v>
      </c>
      <c r="C202" s="1">
        <v>45124</v>
      </c>
      <c r="D202" s="1">
        <v>45139</v>
      </c>
      <c r="E202" t="s">
        <v>14</v>
      </c>
      <c r="F202" t="s">
        <v>19</v>
      </c>
      <c r="G202" s="2">
        <v>1807</v>
      </c>
      <c r="H202" s="3">
        <v>78.63</v>
      </c>
      <c r="I202">
        <v>73.08</v>
      </c>
      <c r="J202">
        <v>100</v>
      </c>
      <c r="K202" t="s">
        <v>16</v>
      </c>
      <c r="L202" s="3">
        <f t="shared" si="3"/>
        <v>132055.56</v>
      </c>
    </row>
    <row r="203" spans="1:12">
      <c r="A203" t="s">
        <v>229</v>
      </c>
      <c r="B203" t="s">
        <v>29</v>
      </c>
      <c r="C203" s="1">
        <v>44731</v>
      </c>
      <c r="D203" s="1">
        <v>44732</v>
      </c>
      <c r="E203" t="s">
        <v>40</v>
      </c>
      <c r="F203" t="s">
        <v>19</v>
      </c>
      <c r="G203">
        <v>534</v>
      </c>
      <c r="H203" s="3">
        <v>13.88</v>
      </c>
      <c r="I203">
        <v>12.51</v>
      </c>
      <c r="J203">
        <v>100</v>
      </c>
      <c r="K203" t="s">
        <v>16</v>
      </c>
      <c r="L203" s="3">
        <f t="shared" si="3"/>
        <v>6680.34</v>
      </c>
    </row>
    <row r="204" spans="1:12">
      <c r="A204" t="s">
        <v>230</v>
      </c>
      <c r="B204" t="s">
        <v>13</v>
      </c>
      <c r="C204" s="1">
        <v>44833</v>
      </c>
      <c r="D204" s="1">
        <v>44848</v>
      </c>
      <c r="E204" t="s">
        <v>40</v>
      </c>
      <c r="F204" t="s">
        <v>19</v>
      </c>
      <c r="G204" s="2">
        <v>1480</v>
      </c>
      <c r="H204" s="3">
        <v>85.22</v>
      </c>
      <c r="I204">
        <v>75.48</v>
      </c>
      <c r="J204">
        <v>100</v>
      </c>
      <c r="K204" t="s">
        <v>16</v>
      </c>
      <c r="L204" s="3">
        <f t="shared" si="3"/>
        <v>111710.40000000001</v>
      </c>
    </row>
    <row r="205" spans="1:12">
      <c r="A205" t="s">
        <v>231</v>
      </c>
      <c r="B205" t="s">
        <v>13</v>
      </c>
      <c r="C205" s="1">
        <v>45102</v>
      </c>
      <c r="E205" t="s">
        <v>14</v>
      </c>
      <c r="F205" t="s">
        <v>19</v>
      </c>
      <c r="G205">
        <v>280</v>
      </c>
      <c r="H205" s="3">
        <v>72.16</v>
      </c>
      <c r="I205">
        <v>62.38</v>
      </c>
      <c r="J205">
        <v>100</v>
      </c>
      <c r="K205" t="s">
        <v>16</v>
      </c>
      <c r="L205" s="3">
        <f t="shared" si="3"/>
        <v>17466.400000000001</v>
      </c>
    </row>
    <row r="206" spans="1:12">
      <c r="A206" t="s">
        <v>232</v>
      </c>
      <c r="B206" t="s">
        <v>38</v>
      </c>
      <c r="C206" s="1">
        <v>45183</v>
      </c>
      <c r="D206" s="1">
        <v>45189</v>
      </c>
      <c r="E206" t="s">
        <v>14</v>
      </c>
      <c r="F206" t="s">
        <v>15</v>
      </c>
      <c r="G206">
        <v>798</v>
      </c>
      <c r="H206" s="3">
        <v>19.09</v>
      </c>
      <c r="I206">
        <v>17.760000000000002</v>
      </c>
      <c r="J206">
        <v>100</v>
      </c>
      <c r="K206" t="s">
        <v>16</v>
      </c>
      <c r="L206" s="3">
        <f t="shared" si="3"/>
        <v>14172.480000000001</v>
      </c>
    </row>
    <row r="207" spans="1:12">
      <c r="A207" t="s">
        <v>233</v>
      </c>
      <c r="B207" t="s">
        <v>29</v>
      </c>
      <c r="C207" s="1">
        <v>44995</v>
      </c>
      <c r="D207" s="1">
        <v>45007</v>
      </c>
      <c r="E207" t="s">
        <v>40</v>
      </c>
      <c r="F207" t="s">
        <v>19</v>
      </c>
      <c r="G207" s="2">
        <v>1728</v>
      </c>
      <c r="H207" s="3">
        <v>94.83</v>
      </c>
      <c r="I207">
        <v>90.2</v>
      </c>
      <c r="J207">
        <v>100</v>
      </c>
      <c r="K207" t="s">
        <v>16</v>
      </c>
      <c r="L207" s="3">
        <f t="shared" si="3"/>
        <v>155865.60000000001</v>
      </c>
    </row>
    <row r="208" spans="1:12">
      <c r="A208" t="s">
        <v>234</v>
      </c>
      <c r="B208" t="s">
        <v>29</v>
      </c>
      <c r="C208" s="1">
        <v>44778</v>
      </c>
      <c r="E208" t="s">
        <v>22</v>
      </c>
      <c r="F208" t="s">
        <v>19</v>
      </c>
      <c r="G208" s="2">
        <v>1244</v>
      </c>
      <c r="H208" s="3">
        <v>96.13</v>
      </c>
      <c r="I208">
        <v>84.78</v>
      </c>
      <c r="J208">
        <v>43</v>
      </c>
      <c r="K208" t="s">
        <v>16</v>
      </c>
      <c r="L208" s="3">
        <f t="shared" si="3"/>
        <v>105466.32</v>
      </c>
    </row>
    <row r="209" spans="1:12">
      <c r="A209" t="s">
        <v>235</v>
      </c>
      <c r="B209" t="s">
        <v>38</v>
      </c>
      <c r="C209" s="1">
        <v>45114</v>
      </c>
      <c r="D209" s="1">
        <v>45128</v>
      </c>
      <c r="E209" t="s">
        <v>14</v>
      </c>
      <c r="F209" t="s">
        <v>19</v>
      </c>
      <c r="G209">
        <v>590</v>
      </c>
      <c r="H209" s="3">
        <v>16.89</v>
      </c>
      <c r="I209">
        <v>15.56</v>
      </c>
      <c r="J209">
        <v>46</v>
      </c>
      <c r="K209" t="s">
        <v>27</v>
      </c>
      <c r="L209" s="3">
        <f t="shared" si="3"/>
        <v>9180.4</v>
      </c>
    </row>
    <row r="210" spans="1:12">
      <c r="A210" t="s">
        <v>236</v>
      </c>
      <c r="B210" t="s">
        <v>18</v>
      </c>
      <c r="C210" s="1">
        <v>45268</v>
      </c>
      <c r="D210" s="1">
        <v>45283</v>
      </c>
      <c r="E210" t="s">
        <v>24</v>
      </c>
      <c r="F210" t="s">
        <v>19</v>
      </c>
      <c r="G210" s="2">
        <v>1109</v>
      </c>
      <c r="H210" s="3">
        <v>38.93</v>
      </c>
      <c r="I210">
        <v>33.33</v>
      </c>
      <c r="J210">
        <v>152</v>
      </c>
      <c r="K210" t="s">
        <v>16</v>
      </c>
      <c r="L210" s="3">
        <f t="shared" si="3"/>
        <v>36962.97</v>
      </c>
    </row>
    <row r="211" spans="1:12">
      <c r="A211" t="s">
        <v>237</v>
      </c>
      <c r="B211" t="s">
        <v>38</v>
      </c>
      <c r="C211" s="1">
        <v>44767</v>
      </c>
      <c r="D211" s="1">
        <v>44774</v>
      </c>
      <c r="E211" t="s">
        <v>22</v>
      </c>
      <c r="F211" t="s">
        <v>19</v>
      </c>
      <c r="G211">
        <v>574</v>
      </c>
      <c r="H211" s="3">
        <v>85.03</v>
      </c>
      <c r="I211">
        <v>82.55</v>
      </c>
      <c r="J211">
        <v>54</v>
      </c>
      <c r="K211" t="s">
        <v>16</v>
      </c>
      <c r="L211" s="3">
        <f t="shared" si="3"/>
        <v>47383.7</v>
      </c>
    </row>
    <row r="212" spans="1:12">
      <c r="A212" t="s">
        <v>238</v>
      </c>
      <c r="B212" t="s">
        <v>21</v>
      </c>
      <c r="C212" s="1">
        <v>45292</v>
      </c>
      <c r="E212" t="s">
        <v>14</v>
      </c>
      <c r="F212" t="s">
        <v>19</v>
      </c>
      <c r="G212" s="2">
        <v>1233</v>
      </c>
      <c r="H212" s="3">
        <v>86.62</v>
      </c>
      <c r="I212">
        <v>76.59</v>
      </c>
      <c r="J212">
        <v>65</v>
      </c>
      <c r="K212" t="s">
        <v>16</v>
      </c>
      <c r="L212" s="3">
        <f t="shared" si="3"/>
        <v>94435.47</v>
      </c>
    </row>
    <row r="213" spans="1:12">
      <c r="A213" t="s">
        <v>239</v>
      </c>
      <c r="B213" t="s">
        <v>21</v>
      </c>
      <c r="C213" s="1">
        <v>44881</v>
      </c>
      <c r="D213" s="1">
        <v>44885</v>
      </c>
      <c r="E213" t="s">
        <v>24</v>
      </c>
      <c r="F213" t="s">
        <v>19</v>
      </c>
      <c r="G213" s="2">
        <v>1912</v>
      </c>
      <c r="H213" s="3">
        <v>27.94</v>
      </c>
      <c r="I213">
        <v>25.59</v>
      </c>
      <c r="J213">
        <v>83</v>
      </c>
      <c r="K213" t="s">
        <v>27</v>
      </c>
      <c r="L213" s="3">
        <f t="shared" si="3"/>
        <v>48928.08</v>
      </c>
    </row>
    <row r="214" spans="1:12">
      <c r="A214" t="s">
        <v>240</v>
      </c>
      <c r="B214" t="s">
        <v>13</v>
      </c>
      <c r="C214" s="1">
        <v>44970</v>
      </c>
      <c r="D214" s="1">
        <v>44989</v>
      </c>
      <c r="E214" t="s">
        <v>24</v>
      </c>
      <c r="F214" t="s">
        <v>19</v>
      </c>
      <c r="G214" s="2">
        <v>1772</v>
      </c>
      <c r="H214" s="3">
        <v>30.72</v>
      </c>
      <c r="I214">
        <v>27.76</v>
      </c>
      <c r="J214">
        <v>46</v>
      </c>
      <c r="K214" t="s">
        <v>27</v>
      </c>
      <c r="L214" s="3">
        <f t="shared" si="3"/>
        <v>49190.720000000001</v>
      </c>
    </row>
    <row r="215" spans="1:12">
      <c r="A215" t="s">
        <v>241</v>
      </c>
      <c r="B215" t="s">
        <v>38</v>
      </c>
      <c r="C215" s="1">
        <v>45249</v>
      </c>
      <c r="D215" s="1">
        <v>45259</v>
      </c>
      <c r="E215" t="s">
        <v>14</v>
      </c>
      <c r="F215" t="s">
        <v>19</v>
      </c>
      <c r="G215" s="2">
        <v>1316</v>
      </c>
      <c r="H215" s="3">
        <v>48.11</v>
      </c>
      <c r="I215">
        <v>41.9</v>
      </c>
      <c r="J215">
        <v>135</v>
      </c>
      <c r="K215" t="s">
        <v>16</v>
      </c>
      <c r="L215" s="3">
        <f t="shared" si="3"/>
        <v>55140.4</v>
      </c>
    </row>
    <row r="216" spans="1:12">
      <c r="A216" t="s">
        <v>242</v>
      </c>
      <c r="B216" t="s">
        <v>38</v>
      </c>
      <c r="C216" s="1">
        <v>45227</v>
      </c>
      <c r="E216" t="s">
        <v>14</v>
      </c>
      <c r="F216" t="s">
        <v>19</v>
      </c>
      <c r="G216" s="2">
        <v>1159</v>
      </c>
      <c r="H216" s="3">
        <v>59.24</v>
      </c>
      <c r="I216">
        <v>58.08</v>
      </c>
      <c r="K216" t="s">
        <v>16</v>
      </c>
      <c r="L216" s="3">
        <f t="shared" si="3"/>
        <v>67314.720000000001</v>
      </c>
    </row>
    <row r="217" spans="1:12">
      <c r="A217" t="s">
        <v>243</v>
      </c>
      <c r="B217" t="s">
        <v>13</v>
      </c>
      <c r="C217" s="1">
        <v>44944</v>
      </c>
      <c r="D217" s="1">
        <v>44957</v>
      </c>
      <c r="E217" t="s">
        <v>14</v>
      </c>
      <c r="F217" t="s">
        <v>19</v>
      </c>
      <c r="G217" s="2">
        <v>1869</v>
      </c>
      <c r="H217" s="3">
        <v>69.58</v>
      </c>
      <c r="I217">
        <v>67.5</v>
      </c>
      <c r="J217">
        <v>31</v>
      </c>
      <c r="K217" t="s">
        <v>16</v>
      </c>
      <c r="L217" s="3">
        <f t="shared" si="3"/>
        <v>126157.5</v>
      </c>
    </row>
    <row r="218" spans="1:12">
      <c r="A218" t="s">
        <v>244</v>
      </c>
      <c r="B218" t="s">
        <v>18</v>
      </c>
      <c r="C218" s="1">
        <v>45010</v>
      </c>
      <c r="D218" s="1">
        <v>45029</v>
      </c>
      <c r="E218" t="s">
        <v>24</v>
      </c>
      <c r="F218" t="s">
        <v>19</v>
      </c>
      <c r="G218">
        <v>627</v>
      </c>
      <c r="H218" s="3">
        <v>46.23</v>
      </c>
      <c r="I218">
        <v>42.87</v>
      </c>
      <c r="K218" t="s">
        <v>16</v>
      </c>
      <c r="L218" s="3">
        <f t="shared" si="3"/>
        <v>26879.489999999998</v>
      </c>
    </row>
    <row r="219" spans="1:12">
      <c r="A219" t="s">
        <v>245</v>
      </c>
      <c r="B219" t="s">
        <v>38</v>
      </c>
      <c r="C219" s="1">
        <v>45091</v>
      </c>
      <c r="D219" s="1">
        <v>45093</v>
      </c>
      <c r="E219" t="s">
        <v>26</v>
      </c>
      <c r="F219" t="s">
        <v>35</v>
      </c>
      <c r="G219">
        <v>731</v>
      </c>
      <c r="H219" s="3">
        <v>56.02</v>
      </c>
      <c r="I219">
        <v>54.78</v>
      </c>
      <c r="J219">
        <v>70</v>
      </c>
      <c r="K219" t="s">
        <v>27</v>
      </c>
      <c r="L219" s="3">
        <f t="shared" si="3"/>
        <v>40044.18</v>
      </c>
    </row>
    <row r="220" spans="1:12">
      <c r="A220" t="s">
        <v>246</v>
      </c>
      <c r="B220" t="s">
        <v>29</v>
      </c>
      <c r="C220" s="1">
        <v>45024</v>
      </c>
      <c r="E220" t="s">
        <v>14</v>
      </c>
      <c r="F220" t="s">
        <v>15</v>
      </c>
      <c r="G220">
        <v>606</v>
      </c>
      <c r="H220" s="3">
        <v>83.07</v>
      </c>
      <c r="I220">
        <v>79.22</v>
      </c>
      <c r="J220">
        <v>16</v>
      </c>
      <c r="K220" t="s">
        <v>16</v>
      </c>
      <c r="L220" s="3">
        <f t="shared" si="3"/>
        <v>48007.32</v>
      </c>
    </row>
    <row r="221" spans="1:12">
      <c r="A221" t="s">
        <v>247</v>
      </c>
      <c r="B221" t="s">
        <v>38</v>
      </c>
      <c r="C221" s="1">
        <v>44685</v>
      </c>
      <c r="D221" s="1">
        <v>44695</v>
      </c>
      <c r="E221" t="s">
        <v>14</v>
      </c>
      <c r="F221" t="s">
        <v>19</v>
      </c>
      <c r="G221" s="2">
        <v>1647</v>
      </c>
      <c r="H221" s="3">
        <v>13.57</v>
      </c>
      <c r="I221">
        <v>12.33</v>
      </c>
      <c r="J221">
        <v>157</v>
      </c>
      <c r="K221" t="s">
        <v>16</v>
      </c>
      <c r="L221" s="3">
        <f t="shared" si="3"/>
        <v>20307.509999999998</v>
      </c>
    </row>
    <row r="222" spans="1:12">
      <c r="A222" t="s">
        <v>248</v>
      </c>
      <c r="B222" t="s">
        <v>18</v>
      </c>
      <c r="C222" s="1">
        <v>44815</v>
      </c>
      <c r="D222" s="1">
        <v>44823</v>
      </c>
      <c r="E222" t="s">
        <v>22</v>
      </c>
      <c r="F222" t="s">
        <v>19</v>
      </c>
      <c r="G222" s="2">
        <v>1062</v>
      </c>
      <c r="H222" s="3">
        <v>34.03</v>
      </c>
      <c r="I222">
        <v>30.46</v>
      </c>
      <c r="K222" t="s">
        <v>16</v>
      </c>
      <c r="L222" s="3">
        <f t="shared" si="3"/>
        <v>32348.52</v>
      </c>
    </row>
    <row r="223" spans="1:12">
      <c r="A223" t="s">
        <v>249</v>
      </c>
      <c r="B223" t="s">
        <v>38</v>
      </c>
      <c r="C223" s="1">
        <v>44792</v>
      </c>
      <c r="D223" s="1">
        <v>44804</v>
      </c>
      <c r="E223" t="s">
        <v>14</v>
      </c>
      <c r="F223" t="s">
        <v>19</v>
      </c>
      <c r="G223">
        <v>695</v>
      </c>
      <c r="H223" s="3">
        <v>76.8</v>
      </c>
      <c r="I223">
        <v>69.760000000000005</v>
      </c>
      <c r="K223" t="s">
        <v>27</v>
      </c>
      <c r="L223" s="3">
        <f t="shared" si="3"/>
        <v>48483.200000000004</v>
      </c>
    </row>
    <row r="224" spans="1:12">
      <c r="A224" t="s">
        <v>250</v>
      </c>
      <c r="B224" t="s">
        <v>29</v>
      </c>
      <c r="C224" s="1">
        <v>44627</v>
      </c>
      <c r="D224" s="1">
        <v>44634</v>
      </c>
      <c r="E224" t="s">
        <v>22</v>
      </c>
      <c r="F224" t="s">
        <v>19</v>
      </c>
      <c r="G224">
        <v>845</v>
      </c>
      <c r="H224" s="3">
        <v>91.47</v>
      </c>
      <c r="I224">
        <v>86.97</v>
      </c>
      <c r="K224" t="s">
        <v>16</v>
      </c>
      <c r="L224" s="3">
        <f t="shared" si="3"/>
        <v>73489.649999999994</v>
      </c>
    </row>
    <row r="225" spans="1:12">
      <c r="A225" t="s">
        <v>251</v>
      </c>
      <c r="B225" t="s">
        <v>21</v>
      </c>
      <c r="C225" s="1">
        <v>44908</v>
      </c>
      <c r="D225" s="1">
        <v>44913</v>
      </c>
      <c r="E225" t="s">
        <v>22</v>
      </c>
      <c r="F225" t="s">
        <v>19</v>
      </c>
      <c r="G225" s="2">
        <v>1101</v>
      </c>
      <c r="H225" s="3">
        <v>59.13</v>
      </c>
      <c r="I225">
        <v>52.51</v>
      </c>
      <c r="J225">
        <v>54</v>
      </c>
      <c r="K225" t="s">
        <v>16</v>
      </c>
      <c r="L225" s="3">
        <f t="shared" si="3"/>
        <v>57813.509999999995</v>
      </c>
    </row>
    <row r="226" spans="1:12">
      <c r="A226" t="s">
        <v>252</v>
      </c>
      <c r="B226" t="s">
        <v>21</v>
      </c>
      <c r="C226" s="1">
        <v>44583</v>
      </c>
      <c r="D226" s="1">
        <v>44585</v>
      </c>
      <c r="E226" t="s">
        <v>26</v>
      </c>
      <c r="F226" t="s">
        <v>19</v>
      </c>
      <c r="G226" s="2">
        <v>1693</v>
      </c>
      <c r="H226" s="3">
        <v>57.89</v>
      </c>
      <c r="I226">
        <v>49.84</v>
      </c>
      <c r="J226">
        <v>88</v>
      </c>
      <c r="K226" t="s">
        <v>16</v>
      </c>
      <c r="L226" s="3">
        <f t="shared" si="3"/>
        <v>84379.12000000001</v>
      </c>
    </row>
    <row r="227" spans="1:12">
      <c r="A227" t="s">
        <v>253</v>
      </c>
      <c r="B227" t="s">
        <v>18</v>
      </c>
      <c r="C227" s="1">
        <v>45164</v>
      </c>
      <c r="D227" s="1">
        <v>45179</v>
      </c>
      <c r="E227" t="s">
        <v>14</v>
      </c>
      <c r="F227" t="s">
        <v>15</v>
      </c>
      <c r="G227" s="2">
        <v>1629</v>
      </c>
      <c r="H227" s="3">
        <v>21.51</v>
      </c>
      <c r="I227">
        <v>19.41</v>
      </c>
      <c r="J227">
        <v>250</v>
      </c>
      <c r="K227" t="s">
        <v>27</v>
      </c>
      <c r="L227" s="3">
        <f t="shared" si="3"/>
        <v>31618.89</v>
      </c>
    </row>
    <row r="228" spans="1:12">
      <c r="A228" t="s">
        <v>254</v>
      </c>
      <c r="B228" t="s">
        <v>18</v>
      </c>
      <c r="C228" s="1">
        <v>45129</v>
      </c>
      <c r="D228" s="1">
        <v>45141</v>
      </c>
      <c r="E228" t="s">
        <v>26</v>
      </c>
      <c r="F228" t="s">
        <v>19</v>
      </c>
      <c r="G228" s="2">
        <v>1413</v>
      </c>
      <c r="H228" s="3">
        <v>54.79</v>
      </c>
      <c r="I228">
        <v>50.42</v>
      </c>
      <c r="K228" t="s">
        <v>16</v>
      </c>
      <c r="L228" s="3">
        <f t="shared" si="3"/>
        <v>71243.460000000006</v>
      </c>
    </row>
    <row r="229" spans="1:12">
      <c r="A229" t="s">
        <v>255</v>
      </c>
      <c r="B229" t="s">
        <v>29</v>
      </c>
      <c r="C229" s="1">
        <v>44797</v>
      </c>
      <c r="D229" s="1">
        <v>44800</v>
      </c>
      <c r="E229" t="s">
        <v>24</v>
      </c>
      <c r="F229" t="s">
        <v>19</v>
      </c>
      <c r="G229" s="2">
        <v>1871</v>
      </c>
      <c r="H229" s="3">
        <v>59.96</v>
      </c>
      <c r="I229">
        <v>58.54</v>
      </c>
      <c r="J229">
        <v>47</v>
      </c>
      <c r="K229" t="s">
        <v>16</v>
      </c>
      <c r="L229" s="3">
        <f t="shared" si="3"/>
        <v>109528.34</v>
      </c>
    </row>
    <row r="230" spans="1:12">
      <c r="A230" t="s">
        <v>256</v>
      </c>
      <c r="B230" t="s">
        <v>21</v>
      </c>
      <c r="C230" s="1">
        <v>45164</v>
      </c>
      <c r="E230" t="s">
        <v>26</v>
      </c>
      <c r="F230" t="s">
        <v>19</v>
      </c>
      <c r="G230" s="2">
        <v>1404</v>
      </c>
      <c r="H230" s="3">
        <v>34.85</v>
      </c>
      <c r="I230">
        <v>30.5</v>
      </c>
      <c r="J230">
        <v>78</v>
      </c>
      <c r="K230" t="s">
        <v>16</v>
      </c>
      <c r="L230" s="3">
        <f t="shared" si="3"/>
        <v>42822</v>
      </c>
    </row>
    <row r="231" spans="1:12">
      <c r="A231" t="s">
        <v>257</v>
      </c>
      <c r="B231" t="s">
        <v>21</v>
      </c>
      <c r="C231" s="1">
        <v>44787</v>
      </c>
      <c r="D231" s="1">
        <v>44801</v>
      </c>
      <c r="E231" t="s">
        <v>40</v>
      </c>
      <c r="F231" t="s">
        <v>19</v>
      </c>
      <c r="G231" s="2">
        <v>1713</v>
      </c>
      <c r="H231" s="3">
        <v>35.43</v>
      </c>
      <c r="I231">
        <v>34.11</v>
      </c>
      <c r="J231">
        <v>74</v>
      </c>
      <c r="K231" t="s">
        <v>16</v>
      </c>
      <c r="L231" s="3">
        <f t="shared" si="3"/>
        <v>58430.43</v>
      </c>
    </row>
    <row r="232" spans="1:12">
      <c r="A232" t="s">
        <v>258</v>
      </c>
      <c r="B232" t="s">
        <v>21</v>
      </c>
      <c r="C232" s="1">
        <v>44569</v>
      </c>
      <c r="D232" s="1">
        <v>44574</v>
      </c>
      <c r="E232" t="s">
        <v>40</v>
      </c>
      <c r="F232" t="s">
        <v>19</v>
      </c>
      <c r="G232" s="2">
        <v>1579</v>
      </c>
      <c r="H232" s="3">
        <v>43.96</v>
      </c>
      <c r="I232">
        <v>43.41</v>
      </c>
      <c r="J232">
        <v>74</v>
      </c>
      <c r="K232" t="s">
        <v>16</v>
      </c>
      <c r="L232" s="3">
        <f t="shared" si="3"/>
        <v>68544.39</v>
      </c>
    </row>
    <row r="233" spans="1:12">
      <c r="A233" t="s">
        <v>259</v>
      </c>
      <c r="B233" t="s">
        <v>21</v>
      </c>
      <c r="C233" s="1">
        <v>44634</v>
      </c>
      <c r="D233" s="1">
        <v>44646</v>
      </c>
      <c r="E233" t="s">
        <v>40</v>
      </c>
      <c r="F233" t="s">
        <v>19</v>
      </c>
      <c r="G233" s="2">
        <v>1421</v>
      </c>
      <c r="H233" s="3">
        <v>11.92</v>
      </c>
      <c r="I233">
        <v>11.72</v>
      </c>
      <c r="J233">
        <v>76</v>
      </c>
      <c r="K233" t="s">
        <v>16</v>
      </c>
      <c r="L233" s="3">
        <f t="shared" si="3"/>
        <v>16654.120000000003</v>
      </c>
    </row>
    <row r="234" spans="1:12">
      <c r="A234" t="s">
        <v>260</v>
      </c>
      <c r="B234" t="s">
        <v>29</v>
      </c>
      <c r="C234" s="1">
        <v>45286</v>
      </c>
      <c r="D234" s="1">
        <v>45295</v>
      </c>
      <c r="E234" t="s">
        <v>22</v>
      </c>
      <c r="F234" t="s">
        <v>19</v>
      </c>
      <c r="G234" s="2">
        <v>1546</v>
      </c>
      <c r="H234" s="3">
        <v>43.47</v>
      </c>
      <c r="I234">
        <v>37.369999999999997</v>
      </c>
      <c r="J234">
        <v>53</v>
      </c>
      <c r="K234" t="s">
        <v>16</v>
      </c>
      <c r="L234" s="3">
        <f t="shared" si="3"/>
        <v>57774.02</v>
      </c>
    </row>
    <row r="235" spans="1:12">
      <c r="A235" t="s">
        <v>261</v>
      </c>
      <c r="B235" t="s">
        <v>18</v>
      </c>
      <c r="C235" s="1">
        <v>45208</v>
      </c>
      <c r="D235" s="1">
        <v>45217</v>
      </c>
      <c r="E235" t="s">
        <v>40</v>
      </c>
      <c r="F235" t="s">
        <v>19</v>
      </c>
      <c r="G235" s="2">
        <v>1304</v>
      </c>
      <c r="H235" s="3">
        <v>32.08</v>
      </c>
      <c r="I235">
        <v>29.36</v>
      </c>
      <c r="K235" t="s">
        <v>16</v>
      </c>
      <c r="L235" s="3">
        <f t="shared" si="3"/>
        <v>38285.440000000002</v>
      </c>
    </row>
    <row r="236" spans="1:12">
      <c r="A236" t="s">
        <v>262</v>
      </c>
      <c r="B236" t="s">
        <v>18</v>
      </c>
      <c r="C236" s="1">
        <v>44622</v>
      </c>
      <c r="E236" t="s">
        <v>26</v>
      </c>
      <c r="F236" t="s">
        <v>19</v>
      </c>
      <c r="G236">
        <v>239</v>
      </c>
      <c r="H236" s="3">
        <v>39.869999999999997</v>
      </c>
      <c r="I236">
        <v>35.47</v>
      </c>
      <c r="J236">
        <v>32</v>
      </c>
      <c r="K236" t="s">
        <v>16</v>
      </c>
      <c r="L236" s="3">
        <f t="shared" si="3"/>
        <v>8477.33</v>
      </c>
    </row>
    <row r="237" spans="1:12">
      <c r="A237" t="s">
        <v>263</v>
      </c>
      <c r="B237" t="s">
        <v>13</v>
      </c>
      <c r="C237" s="1">
        <v>44796</v>
      </c>
      <c r="E237" t="s">
        <v>14</v>
      </c>
      <c r="F237" t="s">
        <v>19</v>
      </c>
      <c r="G237" s="2">
        <v>1298</v>
      </c>
      <c r="H237" s="3">
        <v>21.51</v>
      </c>
      <c r="I237">
        <v>20.83</v>
      </c>
      <c r="K237" t="s">
        <v>16</v>
      </c>
      <c r="L237" s="3">
        <f t="shared" si="3"/>
        <v>27037.339999999997</v>
      </c>
    </row>
    <row r="238" spans="1:12">
      <c r="A238" t="s">
        <v>264</v>
      </c>
      <c r="B238" t="s">
        <v>18</v>
      </c>
      <c r="C238" s="1">
        <v>44631</v>
      </c>
      <c r="E238" t="s">
        <v>22</v>
      </c>
      <c r="F238" t="s">
        <v>19</v>
      </c>
      <c r="G238" s="2">
        <v>1458</v>
      </c>
      <c r="H238" s="3">
        <v>91.05</v>
      </c>
      <c r="I238">
        <v>81.56</v>
      </c>
      <c r="J238">
        <v>220</v>
      </c>
      <c r="K238" t="s">
        <v>16</v>
      </c>
      <c r="L238" s="3">
        <f t="shared" si="3"/>
        <v>118914.48000000001</v>
      </c>
    </row>
    <row r="239" spans="1:12">
      <c r="A239" t="s">
        <v>265</v>
      </c>
      <c r="B239" t="s">
        <v>21</v>
      </c>
      <c r="C239" s="1">
        <v>44594</v>
      </c>
      <c r="D239" s="1">
        <v>44605</v>
      </c>
      <c r="E239" t="s">
        <v>22</v>
      </c>
      <c r="F239" t="s">
        <v>19</v>
      </c>
      <c r="G239" s="2">
        <v>1450</v>
      </c>
      <c r="H239" s="3">
        <v>63.74</v>
      </c>
      <c r="I239">
        <v>59.11</v>
      </c>
      <c r="J239">
        <v>71</v>
      </c>
      <c r="K239" t="s">
        <v>16</v>
      </c>
      <c r="L239" s="3">
        <f t="shared" si="3"/>
        <v>85709.5</v>
      </c>
    </row>
    <row r="240" spans="1:12">
      <c r="A240" t="s">
        <v>266</v>
      </c>
      <c r="B240" t="s">
        <v>38</v>
      </c>
      <c r="C240" s="1">
        <v>44900</v>
      </c>
      <c r="D240" s="1">
        <v>44915</v>
      </c>
      <c r="E240" t="s">
        <v>40</v>
      </c>
      <c r="F240" t="s">
        <v>19</v>
      </c>
      <c r="G240" s="2">
        <v>1356</v>
      </c>
      <c r="H240" s="3">
        <v>75.03</v>
      </c>
      <c r="I240">
        <v>63.86</v>
      </c>
      <c r="J240">
        <v>131</v>
      </c>
      <c r="K240" t="s">
        <v>16</v>
      </c>
      <c r="L240" s="3">
        <f t="shared" si="3"/>
        <v>86594.16</v>
      </c>
    </row>
    <row r="241" spans="1:12">
      <c r="A241" t="s">
        <v>267</v>
      </c>
      <c r="B241" t="s">
        <v>21</v>
      </c>
      <c r="C241" s="1">
        <v>44634</v>
      </c>
      <c r="E241" t="s">
        <v>24</v>
      </c>
      <c r="F241" t="s">
        <v>19</v>
      </c>
      <c r="G241">
        <v>682</v>
      </c>
      <c r="H241" s="3">
        <v>81.84</v>
      </c>
      <c r="I241">
        <v>71.86</v>
      </c>
      <c r="J241">
        <v>40</v>
      </c>
      <c r="K241" t="s">
        <v>16</v>
      </c>
      <c r="L241" s="3">
        <f t="shared" si="3"/>
        <v>49008.52</v>
      </c>
    </row>
    <row r="242" spans="1:12">
      <c r="A242" t="s">
        <v>268</v>
      </c>
      <c r="B242" t="s">
        <v>21</v>
      </c>
      <c r="C242" s="1">
        <v>45088</v>
      </c>
      <c r="D242" s="1">
        <v>45096</v>
      </c>
      <c r="E242" t="s">
        <v>24</v>
      </c>
      <c r="F242" t="s">
        <v>19</v>
      </c>
      <c r="G242">
        <v>677</v>
      </c>
      <c r="H242" s="3">
        <v>59.52</v>
      </c>
      <c r="I242">
        <v>55.29</v>
      </c>
      <c r="J242">
        <v>39</v>
      </c>
      <c r="K242" t="s">
        <v>16</v>
      </c>
      <c r="L242" s="3">
        <f t="shared" si="3"/>
        <v>37431.33</v>
      </c>
    </row>
    <row r="243" spans="1:12">
      <c r="A243" t="s">
        <v>269</v>
      </c>
      <c r="B243" t="s">
        <v>18</v>
      </c>
      <c r="C243" s="1">
        <v>44805</v>
      </c>
      <c r="D243" s="1">
        <v>44818</v>
      </c>
      <c r="E243" t="s">
        <v>14</v>
      </c>
      <c r="F243" t="s">
        <v>19</v>
      </c>
      <c r="G243" s="2">
        <v>1022</v>
      </c>
      <c r="H243" s="3">
        <v>18.54</v>
      </c>
      <c r="I243">
        <v>16.55</v>
      </c>
      <c r="J243">
        <v>150</v>
      </c>
      <c r="K243" t="s">
        <v>16</v>
      </c>
      <c r="L243" s="3">
        <f t="shared" si="3"/>
        <v>16914.100000000002</v>
      </c>
    </row>
    <row r="244" spans="1:12">
      <c r="A244" t="s">
        <v>270</v>
      </c>
      <c r="B244" t="s">
        <v>13</v>
      </c>
      <c r="C244" s="1">
        <v>44847</v>
      </c>
      <c r="E244" t="s">
        <v>26</v>
      </c>
      <c r="F244" t="s">
        <v>19</v>
      </c>
      <c r="G244" s="2">
        <v>1818</v>
      </c>
      <c r="H244" s="3">
        <v>60.96</v>
      </c>
      <c r="I244">
        <v>57.13</v>
      </c>
      <c r="J244">
        <v>41</v>
      </c>
      <c r="K244" t="s">
        <v>16</v>
      </c>
      <c r="L244" s="3">
        <f t="shared" si="3"/>
        <v>103862.34000000001</v>
      </c>
    </row>
    <row r="245" spans="1:12">
      <c r="A245" t="s">
        <v>271</v>
      </c>
      <c r="B245" t="s">
        <v>29</v>
      </c>
      <c r="C245" s="1">
        <v>45247</v>
      </c>
      <c r="D245" s="1">
        <v>45259</v>
      </c>
      <c r="E245" t="s">
        <v>40</v>
      </c>
      <c r="F245" t="s">
        <v>19</v>
      </c>
      <c r="G245" s="2">
        <v>1332</v>
      </c>
      <c r="H245" s="3">
        <v>69.73</v>
      </c>
      <c r="I245">
        <v>63.8</v>
      </c>
      <c r="J245">
        <v>41</v>
      </c>
      <c r="K245" t="s">
        <v>16</v>
      </c>
      <c r="L245" s="3">
        <f t="shared" si="3"/>
        <v>84981.599999999991</v>
      </c>
    </row>
    <row r="246" spans="1:12">
      <c r="A246" t="s">
        <v>272</v>
      </c>
      <c r="B246" t="s">
        <v>38</v>
      </c>
      <c r="C246" s="1">
        <v>45059</v>
      </c>
      <c r="D246" s="1">
        <v>45072</v>
      </c>
      <c r="E246" t="s">
        <v>26</v>
      </c>
      <c r="F246" t="s">
        <v>19</v>
      </c>
      <c r="G246" s="2">
        <v>1432</v>
      </c>
      <c r="H246" s="3">
        <v>83.26</v>
      </c>
      <c r="I246">
        <v>77.67</v>
      </c>
      <c r="J246">
        <v>174</v>
      </c>
      <c r="K246" t="s">
        <v>16</v>
      </c>
      <c r="L246" s="3">
        <f t="shared" si="3"/>
        <v>111223.44</v>
      </c>
    </row>
    <row r="247" spans="1:12">
      <c r="A247" t="s">
        <v>273</v>
      </c>
      <c r="B247" t="s">
        <v>38</v>
      </c>
      <c r="C247" s="1">
        <v>44781</v>
      </c>
      <c r="D247" s="1">
        <v>44799</v>
      </c>
      <c r="E247" t="s">
        <v>24</v>
      </c>
      <c r="F247" t="s">
        <v>35</v>
      </c>
      <c r="G247">
        <v>759</v>
      </c>
      <c r="H247" s="3">
        <v>50.56</v>
      </c>
      <c r="I247">
        <v>46.47</v>
      </c>
      <c r="J247">
        <v>63</v>
      </c>
      <c r="K247" t="s">
        <v>27</v>
      </c>
      <c r="L247" s="3">
        <f t="shared" si="3"/>
        <v>35270.729999999996</v>
      </c>
    </row>
    <row r="248" spans="1:12">
      <c r="A248" t="s">
        <v>274</v>
      </c>
      <c r="B248" t="s">
        <v>13</v>
      </c>
      <c r="C248" s="1">
        <v>45114</v>
      </c>
      <c r="D248" s="1">
        <v>45126</v>
      </c>
      <c r="E248" t="s">
        <v>24</v>
      </c>
      <c r="F248" t="s">
        <v>19</v>
      </c>
      <c r="G248" s="2">
        <v>1529</v>
      </c>
      <c r="H248" s="3">
        <v>23.42</v>
      </c>
      <c r="I248">
        <v>22.44</v>
      </c>
      <c r="J248">
        <v>30</v>
      </c>
      <c r="K248" t="s">
        <v>16</v>
      </c>
      <c r="L248" s="3">
        <f t="shared" si="3"/>
        <v>34310.76</v>
      </c>
    </row>
    <row r="249" spans="1:12">
      <c r="A249" t="s">
        <v>275</v>
      </c>
      <c r="B249" t="s">
        <v>21</v>
      </c>
      <c r="C249" s="1">
        <v>44697</v>
      </c>
      <c r="D249" s="1">
        <v>44706</v>
      </c>
      <c r="E249" t="s">
        <v>40</v>
      </c>
      <c r="F249" t="s">
        <v>19</v>
      </c>
      <c r="G249" s="2">
        <v>1484</v>
      </c>
      <c r="H249" s="3">
        <v>36.25</v>
      </c>
      <c r="I249">
        <v>31.8</v>
      </c>
      <c r="J249">
        <v>61</v>
      </c>
      <c r="K249" t="s">
        <v>16</v>
      </c>
      <c r="L249" s="3">
        <f t="shared" si="3"/>
        <v>47191.200000000004</v>
      </c>
    </row>
    <row r="250" spans="1:12">
      <c r="A250" t="s">
        <v>276</v>
      </c>
      <c r="B250" t="s">
        <v>29</v>
      </c>
      <c r="C250" s="1">
        <v>45146</v>
      </c>
      <c r="D250" s="1">
        <v>45158</v>
      </c>
      <c r="E250" t="s">
        <v>24</v>
      </c>
      <c r="F250" t="s">
        <v>19</v>
      </c>
      <c r="G250">
        <v>698</v>
      </c>
      <c r="H250" s="3">
        <v>46.73</v>
      </c>
      <c r="I250">
        <v>45.61</v>
      </c>
      <c r="J250">
        <v>15</v>
      </c>
      <c r="K250" t="s">
        <v>16</v>
      </c>
      <c r="L250" s="3">
        <f t="shared" si="3"/>
        <v>31835.78</v>
      </c>
    </row>
    <row r="251" spans="1:12">
      <c r="A251" t="s">
        <v>277</v>
      </c>
      <c r="B251" t="s">
        <v>29</v>
      </c>
      <c r="C251" s="1">
        <v>45152</v>
      </c>
      <c r="D251" s="1">
        <v>45160</v>
      </c>
      <c r="E251" t="s">
        <v>24</v>
      </c>
      <c r="F251" t="s">
        <v>35</v>
      </c>
      <c r="G251">
        <v>367</v>
      </c>
      <c r="H251" s="3">
        <v>74.61</v>
      </c>
      <c r="I251">
        <v>71.36</v>
      </c>
      <c r="J251">
        <v>13</v>
      </c>
      <c r="K251" t="s">
        <v>16</v>
      </c>
      <c r="L251" s="3">
        <f t="shared" si="3"/>
        <v>26189.119999999999</v>
      </c>
    </row>
    <row r="252" spans="1:12">
      <c r="A252" t="s">
        <v>278</v>
      </c>
      <c r="B252" t="s">
        <v>29</v>
      </c>
      <c r="C252" s="1">
        <v>45046</v>
      </c>
      <c r="D252" s="1">
        <v>45066</v>
      </c>
      <c r="E252" t="s">
        <v>14</v>
      </c>
      <c r="F252" t="s">
        <v>33</v>
      </c>
      <c r="G252" s="2">
        <v>1750</v>
      </c>
      <c r="H252" s="3">
        <v>65.97</v>
      </c>
      <c r="I252">
        <v>58.34</v>
      </c>
      <c r="J252">
        <v>50</v>
      </c>
      <c r="K252" t="s">
        <v>16</v>
      </c>
      <c r="L252" s="3">
        <f t="shared" si="3"/>
        <v>102095</v>
      </c>
    </row>
    <row r="253" spans="1:12">
      <c r="A253" t="s">
        <v>279</v>
      </c>
      <c r="B253" t="s">
        <v>18</v>
      </c>
      <c r="C253" s="1">
        <v>44810</v>
      </c>
      <c r="D253" s="1">
        <v>44828</v>
      </c>
      <c r="E253" t="s">
        <v>14</v>
      </c>
      <c r="F253" t="s">
        <v>33</v>
      </c>
      <c r="G253" s="2">
        <v>1298</v>
      </c>
      <c r="H253" s="3">
        <v>43.73</v>
      </c>
      <c r="I253">
        <v>37.21</v>
      </c>
      <c r="K253" t="s">
        <v>27</v>
      </c>
      <c r="L253" s="3">
        <f t="shared" si="3"/>
        <v>48298.58</v>
      </c>
    </row>
    <row r="254" spans="1:12">
      <c r="A254" t="s">
        <v>280</v>
      </c>
      <c r="B254" t="s">
        <v>21</v>
      </c>
      <c r="C254" s="1">
        <v>45046</v>
      </c>
      <c r="D254" s="1">
        <v>45066</v>
      </c>
      <c r="E254" t="s">
        <v>24</v>
      </c>
      <c r="F254" t="s">
        <v>19</v>
      </c>
      <c r="G254" s="2">
        <v>1892</v>
      </c>
      <c r="H254" s="3">
        <v>106.2</v>
      </c>
      <c r="I254">
        <v>96.37</v>
      </c>
      <c r="J254">
        <v>93</v>
      </c>
      <c r="K254" t="s">
        <v>16</v>
      </c>
      <c r="L254" s="3">
        <f t="shared" si="3"/>
        <v>182332.04</v>
      </c>
    </row>
    <row r="255" spans="1:12">
      <c r="A255" t="s">
        <v>281</v>
      </c>
      <c r="B255" t="s">
        <v>38</v>
      </c>
      <c r="C255" s="1">
        <v>44978</v>
      </c>
      <c r="D255" s="1">
        <v>44981</v>
      </c>
      <c r="E255" t="s">
        <v>40</v>
      </c>
      <c r="F255" t="s">
        <v>19</v>
      </c>
      <c r="G255" s="2">
        <v>1307</v>
      </c>
      <c r="H255" s="3">
        <v>68.709999999999994</v>
      </c>
      <c r="I255">
        <v>60.64</v>
      </c>
      <c r="J255">
        <v>141</v>
      </c>
      <c r="K255" t="s">
        <v>16</v>
      </c>
      <c r="L255" s="3">
        <f t="shared" si="3"/>
        <v>79256.479999999996</v>
      </c>
    </row>
    <row r="256" spans="1:12">
      <c r="A256" t="s">
        <v>282</v>
      </c>
      <c r="B256" t="s">
        <v>38</v>
      </c>
      <c r="C256" s="1">
        <v>44756</v>
      </c>
      <c r="D256" s="1">
        <v>44771</v>
      </c>
      <c r="E256" t="s">
        <v>40</v>
      </c>
      <c r="F256" t="s">
        <v>19</v>
      </c>
      <c r="G256">
        <v>733</v>
      </c>
      <c r="H256" s="3">
        <v>32.29</v>
      </c>
      <c r="I256">
        <v>29.01</v>
      </c>
      <c r="J256">
        <v>78</v>
      </c>
      <c r="K256" t="s">
        <v>16</v>
      </c>
      <c r="L256" s="3">
        <f t="shared" si="3"/>
        <v>21264.33</v>
      </c>
    </row>
    <row r="257" spans="1:12">
      <c r="A257" t="s">
        <v>283</v>
      </c>
      <c r="B257" t="s">
        <v>21</v>
      </c>
      <c r="C257" s="1">
        <v>44658</v>
      </c>
      <c r="E257" t="s">
        <v>24</v>
      </c>
      <c r="F257" t="s">
        <v>19</v>
      </c>
      <c r="G257">
        <v>713</v>
      </c>
      <c r="H257" s="3">
        <v>19.45</v>
      </c>
      <c r="I257">
        <v>18.82</v>
      </c>
      <c r="J257">
        <v>31</v>
      </c>
      <c r="K257" t="s">
        <v>16</v>
      </c>
      <c r="L257" s="3">
        <f t="shared" si="3"/>
        <v>13418.66</v>
      </c>
    </row>
    <row r="258" spans="1:12">
      <c r="A258" t="s">
        <v>284</v>
      </c>
      <c r="B258" t="s">
        <v>38</v>
      </c>
      <c r="C258" s="1">
        <v>44661</v>
      </c>
      <c r="D258" s="1">
        <v>44675</v>
      </c>
      <c r="E258" t="s">
        <v>24</v>
      </c>
      <c r="F258" t="s">
        <v>19</v>
      </c>
      <c r="G258" s="2">
        <v>1900</v>
      </c>
      <c r="H258" s="3">
        <v>24.11</v>
      </c>
      <c r="I258">
        <v>23.45</v>
      </c>
      <c r="J258">
        <v>188</v>
      </c>
      <c r="K258" t="s">
        <v>16</v>
      </c>
      <c r="L258" s="3">
        <f t="shared" si="3"/>
        <v>44555</v>
      </c>
    </row>
    <row r="259" spans="1:12">
      <c r="A259" t="s">
        <v>285</v>
      </c>
      <c r="B259" t="s">
        <v>18</v>
      </c>
      <c r="C259" s="1">
        <v>45236</v>
      </c>
      <c r="D259" s="1">
        <v>45238</v>
      </c>
      <c r="E259" t="s">
        <v>22</v>
      </c>
      <c r="F259" t="s">
        <v>15</v>
      </c>
      <c r="G259" s="2">
        <v>1447</v>
      </c>
      <c r="H259" s="3">
        <v>35.67</v>
      </c>
      <c r="I259">
        <v>35.07</v>
      </c>
      <c r="J259">
        <v>224</v>
      </c>
      <c r="K259" t="s">
        <v>27</v>
      </c>
      <c r="L259" s="3">
        <f t="shared" ref="L259:L322" si="4">I259*G259</f>
        <v>50746.29</v>
      </c>
    </row>
    <row r="260" spans="1:12">
      <c r="A260" t="s">
        <v>286</v>
      </c>
      <c r="B260" t="s">
        <v>29</v>
      </c>
      <c r="C260" s="1">
        <v>45003</v>
      </c>
      <c r="E260" t="s">
        <v>14</v>
      </c>
      <c r="F260" t="s">
        <v>19</v>
      </c>
      <c r="G260" s="2">
        <v>1745</v>
      </c>
      <c r="H260" s="3">
        <v>26.17</v>
      </c>
      <c r="I260">
        <v>22.25</v>
      </c>
      <c r="J260">
        <v>55</v>
      </c>
      <c r="K260" t="s">
        <v>16</v>
      </c>
      <c r="L260" s="3">
        <f t="shared" si="4"/>
        <v>38826.25</v>
      </c>
    </row>
    <row r="261" spans="1:12">
      <c r="A261" t="s">
        <v>287</v>
      </c>
      <c r="B261" t="s">
        <v>38</v>
      </c>
      <c r="C261" s="1">
        <v>44924</v>
      </c>
      <c r="D261" s="1">
        <v>44940</v>
      </c>
      <c r="E261" t="s">
        <v>14</v>
      </c>
      <c r="F261" t="s">
        <v>19</v>
      </c>
      <c r="G261" s="2">
        <v>1681</v>
      </c>
      <c r="H261" s="3">
        <v>28.26</v>
      </c>
      <c r="I261">
        <v>26.62</v>
      </c>
      <c r="J261">
        <v>143</v>
      </c>
      <c r="K261" t="s">
        <v>16</v>
      </c>
      <c r="L261" s="3">
        <f t="shared" si="4"/>
        <v>44748.22</v>
      </c>
    </row>
    <row r="262" spans="1:12">
      <c r="A262" t="s">
        <v>288</v>
      </c>
      <c r="B262" t="s">
        <v>18</v>
      </c>
      <c r="C262" s="1">
        <v>44995</v>
      </c>
      <c r="D262" s="1">
        <v>45003</v>
      </c>
      <c r="E262" t="s">
        <v>40</v>
      </c>
      <c r="F262" t="s">
        <v>19</v>
      </c>
      <c r="G262" s="2">
        <v>1545</v>
      </c>
      <c r="H262" s="3">
        <v>38.15</v>
      </c>
      <c r="I262">
        <v>36.96</v>
      </c>
      <c r="J262">
        <v>214</v>
      </c>
      <c r="K262" t="s">
        <v>16</v>
      </c>
      <c r="L262" s="3">
        <f t="shared" si="4"/>
        <v>57103.200000000004</v>
      </c>
    </row>
    <row r="263" spans="1:12">
      <c r="A263" t="s">
        <v>289</v>
      </c>
      <c r="B263" t="s">
        <v>29</v>
      </c>
      <c r="C263" s="1">
        <v>44982</v>
      </c>
      <c r="D263" s="1">
        <v>44987</v>
      </c>
      <c r="E263" t="s">
        <v>26</v>
      </c>
      <c r="F263" t="s">
        <v>19</v>
      </c>
      <c r="G263" s="2">
        <v>1306</v>
      </c>
      <c r="H263" s="3">
        <v>27.27</v>
      </c>
      <c r="I263">
        <v>25.96</v>
      </c>
      <c r="J263">
        <v>39</v>
      </c>
      <c r="K263" t="s">
        <v>16</v>
      </c>
      <c r="L263" s="3">
        <f t="shared" si="4"/>
        <v>33903.760000000002</v>
      </c>
    </row>
    <row r="264" spans="1:12">
      <c r="A264" t="s">
        <v>290</v>
      </c>
      <c r="B264" t="s">
        <v>21</v>
      </c>
      <c r="C264" s="1">
        <v>45040</v>
      </c>
      <c r="D264" s="1">
        <v>45052</v>
      </c>
      <c r="E264" t="s">
        <v>26</v>
      </c>
      <c r="F264" t="s">
        <v>19</v>
      </c>
      <c r="G264" s="2">
        <v>1765</v>
      </c>
      <c r="H264" s="3">
        <v>97.51</v>
      </c>
      <c r="I264">
        <v>84.3</v>
      </c>
      <c r="J264">
        <v>65</v>
      </c>
      <c r="K264" t="s">
        <v>16</v>
      </c>
      <c r="L264" s="3">
        <f t="shared" si="4"/>
        <v>148789.5</v>
      </c>
    </row>
    <row r="265" spans="1:12">
      <c r="A265" t="s">
        <v>291</v>
      </c>
      <c r="B265" t="s">
        <v>21</v>
      </c>
      <c r="C265" s="1">
        <v>44617</v>
      </c>
      <c r="D265" s="1">
        <v>44635</v>
      </c>
      <c r="E265" t="s">
        <v>24</v>
      </c>
      <c r="F265" t="s">
        <v>15</v>
      </c>
      <c r="G265" s="2">
        <v>1186</v>
      </c>
      <c r="H265" s="3">
        <v>17.309999999999999</v>
      </c>
      <c r="I265">
        <v>16</v>
      </c>
      <c r="J265">
        <v>64</v>
      </c>
      <c r="K265" t="s">
        <v>16</v>
      </c>
      <c r="L265" s="3">
        <f t="shared" si="4"/>
        <v>18976</v>
      </c>
    </row>
    <row r="266" spans="1:12">
      <c r="A266" t="s">
        <v>292</v>
      </c>
      <c r="B266" t="s">
        <v>18</v>
      </c>
      <c r="C266" s="1">
        <v>45251</v>
      </c>
      <c r="D266" s="1">
        <v>45256</v>
      </c>
      <c r="E266" t="s">
        <v>24</v>
      </c>
      <c r="F266" t="s">
        <v>19</v>
      </c>
      <c r="G266" s="2">
        <v>1903</v>
      </c>
      <c r="H266" s="3">
        <v>63.5</v>
      </c>
      <c r="I266">
        <v>56.09</v>
      </c>
      <c r="J266">
        <v>254</v>
      </c>
      <c r="K266" t="s">
        <v>16</v>
      </c>
      <c r="L266" s="3">
        <f t="shared" si="4"/>
        <v>106739.27</v>
      </c>
    </row>
    <row r="267" spans="1:12">
      <c r="A267" t="s">
        <v>293</v>
      </c>
      <c r="B267" t="s">
        <v>18</v>
      </c>
      <c r="C267" s="1">
        <v>45231</v>
      </c>
      <c r="D267" s="1">
        <v>45235</v>
      </c>
      <c r="E267" t="s">
        <v>22</v>
      </c>
      <c r="F267" t="s">
        <v>19</v>
      </c>
      <c r="G267" s="2">
        <v>1570</v>
      </c>
      <c r="H267" s="3">
        <v>52.1</v>
      </c>
      <c r="I267">
        <v>47.87</v>
      </c>
      <c r="K267" t="s">
        <v>27</v>
      </c>
      <c r="L267" s="3">
        <f t="shared" si="4"/>
        <v>75155.899999999994</v>
      </c>
    </row>
    <row r="268" spans="1:12">
      <c r="A268" t="s">
        <v>294</v>
      </c>
      <c r="B268" t="s">
        <v>18</v>
      </c>
      <c r="C268" s="1">
        <v>45223</v>
      </c>
      <c r="D268" s="1">
        <v>45243</v>
      </c>
      <c r="E268" t="s">
        <v>22</v>
      </c>
      <c r="F268" t="s">
        <v>19</v>
      </c>
      <c r="G268">
        <v>491</v>
      </c>
      <c r="H268" s="3">
        <v>108.75</v>
      </c>
      <c r="I268">
        <v>93.35</v>
      </c>
      <c r="K268" t="s">
        <v>27</v>
      </c>
      <c r="L268" s="3">
        <f t="shared" si="4"/>
        <v>45834.85</v>
      </c>
    </row>
    <row r="269" spans="1:12">
      <c r="A269" t="s">
        <v>295</v>
      </c>
      <c r="B269" t="s">
        <v>38</v>
      </c>
      <c r="C269" s="1">
        <v>44662</v>
      </c>
      <c r="D269" s="1">
        <v>44671</v>
      </c>
      <c r="E269" t="s">
        <v>40</v>
      </c>
      <c r="F269" t="s">
        <v>33</v>
      </c>
      <c r="G269">
        <v>613</v>
      </c>
      <c r="H269" s="3">
        <v>20.38</v>
      </c>
      <c r="I269">
        <v>20.170000000000002</v>
      </c>
      <c r="J269">
        <v>58</v>
      </c>
      <c r="K269" t="s">
        <v>16</v>
      </c>
      <c r="L269" s="3">
        <f t="shared" si="4"/>
        <v>12364.210000000001</v>
      </c>
    </row>
    <row r="270" spans="1:12">
      <c r="A270" t="s">
        <v>296</v>
      </c>
      <c r="B270" t="s">
        <v>21</v>
      </c>
      <c r="C270" s="1">
        <v>44624</v>
      </c>
      <c r="D270" s="1">
        <v>44636</v>
      </c>
      <c r="E270" t="s">
        <v>26</v>
      </c>
      <c r="F270" t="s">
        <v>33</v>
      </c>
      <c r="G270" s="2">
        <v>1341</v>
      </c>
      <c r="H270" s="3">
        <v>46.27</v>
      </c>
      <c r="I270">
        <v>43.94</v>
      </c>
      <c r="J270">
        <v>63</v>
      </c>
      <c r="K270" t="s">
        <v>16</v>
      </c>
      <c r="L270" s="3">
        <f t="shared" si="4"/>
        <v>58923.539999999994</v>
      </c>
    </row>
    <row r="271" spans="1:12">
      <c r="A271" t="s">
        <v>297</v>
      </c>
      <c r="B271" t="s">
        <v>38</v>
      </c>
      <c r="C271" s="1">
        <v>44974</v>
      </c>
      <c r="D271" s="1">
        <v>44989</v>
      </c>
      <c r="E271" t="s">
        <v>22</v>
      </c>
      <c r="F271" t="s">
        <v>33</v>
      </c>
      <c r="G271" s="2">
        <v>1583</v>
      </c>
      <c r="H271" s="3">
        <v>103.57</v>
      </c>
      <c r="I271">
        <v>89.38</v>
      </c>
      <c r="J271">
        <v>164</v>
      </c>
      <c r="K271" t="s">
        <v>16</v>
      </c>
      <c r="L271" s="3">
        <f t="shared" si="4"/>
        <v>141488.53999999998</v>
      </c>
    </row>
    <row r="272" spans="1:12">
      <c r="A272" t="s">
        <v>298</v>
      </c>
      <c r="B272" t="s">
        <v>38</v>
      </c>
      <c r="C272" s="1">
        <v>44909</v>
      </c>
      <c r="E272" t="s">
        <v>26</v>
      </c>
      <c r="F272" t="s">
        <v>15</v>
      </c>
      <c r="G272" s="2">
        <v>1880</v>
      </c>
      <c r="H272" s="3">
        <v>92.73</v>
      </c>
      <c r="I272">
        <v>90.78</v>
      </c>
      <c r="J272">
        <v>173</v>
      </c>
      <c r="K272" t="s">
        <v>16</v>
      </c>
      <c r="L272" s="3">
        <f t="shared" si="4"/>
        <v>170666.4</v>
      </c>
    </row>
    <row r="273" spans="1:12">
      <c r="A273" t="s">
        <v>299</v>
      </c>
      <c r="B273" t="s">
        <v>29</v>
      </c>
      <c r="C273" s="1">
        <v>44673</v>
      </c>
      <c r="D273" s="1">
        <v>44677</v>
      </c>
      <c r="E273" t="s">
        <v>22</v>
      </c>
      <c r="F273" t="s">
        <v>19</v>
      </c>
      <c r="G273" s="2">
        <v>1459</v>
      </c>
      <c r="H273" s="3">
        <v>84.79</v>
      </c>
      <c r="I273">
        <v>82.72</v>
      </c>
      <c r="J273">
        <v>47</v>
      </c>
      <c r="K273" t="s">
        <v>16</v>
      </c>
      <c r="L273" s="3">
        <f t="shared" si="4"/>
        <v>120688.48</v>
      </c>
    </row>
    <row r="274" spans="1:12">
      <c r="A274" t="s">
        <v>300</v>
      </c>
      <c r="B274" t="s">
        <v>18</v>
      </c>
      <c r="C274" s="1">
        <v>44816</v>
      </c>
      <c r="E274" t="s">
        <v>14</v>
      </c>
      <c r="F274" t="s">
        <v>19</v>
      </c>
      <c r="G274" s="2">
        <v>1460</v>
      </c>
      <c r="H274" s="3">
        <v>34.54</v>
      </c>
      <c r="I274">
        <v>31.87</v>
      </c>
      <c r="J274">
        <v>208</v>
      </c>
      <c r="K274" t="s">
        <v>27</v>
      </c>
      <c r="L274" s="3">
        <f t="shared" si="4"/>
        <v>46530.200000000004</v>
      </c>
    </row>
    <row r="275" spans="1:12">
      <c r="A275" t="s">
        <v>301</v>
      </c>
      <c r="B275" t="s">
        <v>38</v>
      </c>
      <c r="C275" s="1">
        <v>44758</v>
      </c>
      <c r="D275" s="1">
        <v>44770</v>
      </c>
      <c r="E275" t="s">
        <v>24</v>
      </c>
      <c r="F275" t="s">
        <v>33</v>
      </c>
      <c r="G275" s="2">
        <v>1186</v>
      </c>
      <c r="H275" s="3">
        <v>26.14</v>
      </c>
      <c r="I275">
        <v>24.78</v>
      </c>
      <c r="J275">
        <v>112</v>
      </c>
      <c r="K275" t="s">
        <v>16</v>
      </c>
      <c r="L275" s="3">
        <f t="shared" si="4"/>
        <v>29389.08</v>
      </c>
    </row>
    <row r="276" spans="1:12">
      <c r="A276" t="s">
        <v>302</v>
      </c>
      <c r="B276" t="s">
        <v>29</v>
      </c>
      <c r="C276" s="1">
        <v>44756</v>
      </c>
      <c r="D276" s="1">
        <v>44765</v>
      </c>
      <c r="E276" t="s">
        <v>22</v>
      </c>
      <c r="F276" t="s">
        <v>35</v>
      </c>
      <c r="G276" s="2">
        <v>1686</v>
      </c>
      <c r="H276" s="3">
        <v>72.28</v>
      </c>
      <c r="I276">
        <v>65.209999999999994</v>
      </c>
      <c r="J276">
        <v>53</v>
      </c>
      <c r="K276" t="s">
        <v>16</v>
      </c>
      <c r="L276" s="3">
        <f t="shared" si="4"/>
        <v>109944.05999999998</v>
      </c>
    </row>
    <row r="277" spans="1:12">
      <c r="A277" t="s">
        <v>303</v>
      </c>
      <c r="B277" t="s">
        <v>13</v>
      </c>
      <c r="C277" s="1">
        <v>45111</v>
      </c>
      <c r="D277" s="1">
        <v>45115</v>
      </c>
      <c r="E277" t="s">
        <v>22</v>
      </c>
      <c r="F277" t="s">
        <v>19</v>
      </c>
      <c r="G277" s="2">
        <v>1698</v>
      </c>
      <c r="H277" s="3">
        <v>102.07</v>
      </c>
      <c r="I277">
        <v>100.69</v>
      </c>
      <c r="J277">
        <v>28</v>
      </c>
      <c r="K277" t="s">
        <v>16</v>
      </c>
      <c r="L277" s="3">
        <f t="shared" si="4"/>
        <v>170971.62</v>
      </c>
    </row>
    <row r="278" spans="1:12">
      <c r="A278" t="s">
        <v>304</v>
      </c>
      <c r="B278" t="s">
        <v>29</v>
      </c>
      <c r="C278" s="1">
        <v>45021</v>
      </c>
      <c r="E278" t="s">
        <v>40</v>
      </c>
      <c r="F278" t="s">
        <v>19</v>
      </c>
      <c r="G278" s="2">
        <v>1001</v>
      </c>
      <c r="H278" s="3">
        <v>64.62</v>
      </c>
      <c r="I278">
        <v>55.7</v>
      </c>
      <c r="J278">
        <v>32</v>
      </c>
      <c r="K278" t="s">
        <v>16</v>
      </c>
      <c r="L278" s="3">
        <f t="shared" si="4"/>
        <v>55755.700000000004</v>
      </c>
    </row>
    <row r="279" spans="1:12">
      <c r="A279" t="s">
        <v>305</v>
      </c>
      <c r="B279" t="s">
        <v>13</v>
      </c>
      <c r="C279" s="1">
        <v>44705</v>
      </c>
      <c r="D279" s="1">
        <v>44708</v>
      </c>
      <c r="E279" t="s">
        <v>14</v>
      </c>
      <c r="F279" t="s">
        <v>19</v>
      </c>
      <c r="G279" s="2">
        <v>1154</v>
      </c>
      <c r="H279" s="3">
        <v>62.67</v>
      </c>
      <c r="I279">
        <v>54.11</v>
      </c>
      <c r="J279">
        <v>25</v>
      </c>
      <c r="K279" t="s">
        <v>16</v>
      </c>
      <c r="L279" s="3">
        <f t="shared" si="4"/>
        <v>62442.94</v>
      </c>
    </row>
    <row r="280" spans="1:12">
      <c r="A280" t="s">
        <v>306</v>
      </c>
      <c r="B280" t="s">
        <v>13</v>
      </c>
      <c r="C280" s="1">
        <v>44994</v>
      </c>
      <c r="D280" s="1">
        <v>45014</v>
      </c>
      <c r="E280" t="s">
        <v>24</v>
      </c>
      <c r="F280" t="s">
        <v>15</v>
      </c>
      <c r="G280">
        <v>748</v>
      </c>
      <c r="H280" s="3">
        <v>37.659999999999997</v>
      </c>
      <c r="I280">
        <v>32.71</v>
      </c>
      <c r="K280" t="s">
        <v>27</v>
      </c>
      <c r="L280" s="3">
        <f t="shared" si="4"/>
        <v>24467.08</v>
      </c>
    </row>
    <row r="281" spans="1:12">
      <c r="A281" t="s">
        <v>307</v>
      </c>
      <c r="B281" t="s">
        <v>13</v>
      </c>
      <c r="C281" s="1">
        <v>44749</v>
      </c>
      <c r="E281" t="s">
        <v>14</v>
      </c>
      <c r="F281" t="s">
        <v>19</v>
      </c>
      <c r="G281">
        <v>162</v>
      </c>
      <c r="H281" s="3">
        <v>81.63</v>
      </c>
      <c r="I281">
        <v>78.760000000000005</v>
      </c>
      <c r="J281">
        <v>2</v>
      </c>
      <c r="K281" t="s">
        <v>16</v>
      </c>
      <c r="L281" s="3">
        <f t="shared" si="4"/>
        <v>12759.12</v>
      </c>
    </row>
    <row r="282" spans="1:12">
      <c r="A282" t="s">
        <v>308</v>
      </c>
      <c r="B282" t="s">
        <v>13</v>
      </c>
      <c r="C282" s="1">
        <v>44847</v>
      </c>
      <c r="D282" s="1">
        <v>44858</v>
      </c>
      <c r="E282" t="s">
        <v>24</v>
      </c>
      <c r="F282" t="s">
        <v>19</v>
      </c>
      <c r="G282">
        <v>51</v>
      </c>
      <c r="H282" s="3">
        <v>28.04</v>
      </c>
      <c r="I282">
        <v>24.13</v>
      </c>
      <c r="J282">
        <v>0</v>
      </c>
      <c r="K282" t="s">
        <v>16</v>
      </c>
      <c r="L282" s="3">
        <f t="shared" si="4"/>
        <v>1230.6299999999999</v>
      </c>
    </row>
    <row r="283" spans="1:12">
      <c r="A283" t="s">
        <v>309</v>
      </c>
      <c r="B283" t="s">
        <v>18</v>
      </c>
      <c r="C283" s="1">
        <v>45035</v>
      </c>
      <c r="D283" s="1">
        <v>45040</v>
      </c>
      <c r="E283" t="s">
        <v>14</v>
      </c>
      <c r="F283" t="s">
        <v>19</v>
      </c>
      <c r="G283">
        <v>691</v>
      </c>
      <c r="H283" s="3">
        <v>42.07</v>
      </c>
      <c r="I283">
        <v>39.1</v>
      </c>
      <c r="J283">
        <v>106</v>
      </c>
      <c r="K283" t="s">
        <v>16</v>
      </c>
      <c r="L283" s="3">
        <f t="shared" si="4"/>
        <v>27018.100000000002</v>
      </c>
    </row>
    <row r="284" spans="1:12">
      <c r="A284" t="s">
        <v>310</v>
      </c>
      <c r="B284" t="s">
        <v>38</v>
      </c>
      <c r="C284" s="1">
        <v>44817</v>
      </c>
      <c r="D284" s="1">
        <v>44824</v>
      </c>
      <c r="E284" t="s">
        <v>14</v>
      </c>
      <c r="F284" t="s">
        <v>19</v>
      </c>
      <c r="G284">
        <v>269</v>
      </c>
      <c r="H284" s="3">
        <v>50.22</v>
      </c>
      <c r="I284">
        <v>45.75</v>
      </c>
      <c r="J284">
        <v>32</v>
      </c>
      <c r="K284" t="s">
        <v>27</v>
      </c>
      <c r="L284" s="3">
        <f t="shared" si="4"/>
        <v>12306.75</v>
      </c>
    </row>
    <row r="285" spans="1:12">
      <c r="A285" t="s">
        <v>311</v>
      </c>
      <c r="B285" t="s">
        <v>38</v>
      </c>
      <c r="C285" s="1">
        <v>44639</v>
      </c>
      <c r="D285" s="1">
        <v>44657</v>
      </c>
      <c r="E285" t="s">
        <v>40</v>
      </c>
      <c r="F285" t="s">
        <v>35</v>
      </c>
      <c r="G285" s="2">
        <v>1639</v>
      </c>
      <c r="H285" s="3">
        <v>56.24</v>
      </c>
      <c r="I285">
        <v>55.4</v>
      </c>
      <c r="J285">
        <v>147</v>
      </c>
      <c r="K285" t="s">
        <v>16</v>
      </c>
      <c r="L285" s="3">
        <f t="shared" si="4"/>
        <v>90800.599999999991</v>
      </c>
    </row>
    <row r="286" spans="1:12">
      <c r="A286" t="s">
        <v>312</v>
      </c>
      <c r="B286" t="s">
        <v>13</v>
      </c>
      <c r="C286" s="1">
        <v>45015</v>
      </c>
      <c r="D286" s="1">
        <v>45022</v>
      </c>
      <c r="E286" t="s">
        <v>26</v>
      </c>
      <c r="F286" t="s">
        <v>19</v>
      </c>
      <c r="G286">
        <v>904</v>
      </c>
      <c r="H286" s="3">
        <v>34.04</v>
      </c>
      <c r="I286">
        <v>30.06</v>
      </c>
      <c r="J286">
        <v>26</v>
      </c>
      <c r="K286" t="s">
        <v>16</v>
      </c>
      <c r="L286" s="3">
        <f t="shared" si="4"/>
        <v>27174.239999999998</v>
      </c>
    </row>
    <row r="287" spans="1:12">
      <c r="A287" t="s">
        <v>313</v>
      </c>
      <c r="B287" t="s">
        <v>38</v>
      </c>
      <c r="C287" s="1">
        <v>45125</v>
      </c>
      <c r="D287" s="1">
        <v>45133</v>
      </c>
      <c r="E287" t="s">
        <v>14</v>
      </c>
      <c r="F287" t="s">
        <v>19</v>
      </c>
      <c r="G287" s="2">
        <v>1809</v>
      </c>
      <c r="H287" s="3">
        <v>22.17</v>
      </c>
      <c r="I287">
        <v>19.649999999999999</v>
      </c>
      <c r="K287" t="s">
        <v>16</v>
      </c>
      <c r="L287" s="3">
        <f t="shared" si="4"/>
        <v>35546.85</v>
      </c>
    </row>
    <row r="288" spans="1:12">
      <c r="A288" t="s">
        <v>314</v>
      </c>
      <c r="B288" t="s">
        <v>13</v>
      </c>
      <c r="C288" s="1">
        <v>44662</v>
      </c>
      <c r="D288" s="1">
        <v>44667</v>
      </c>
      <c r="E288" t="s">
        <v>24</v>
      </c>
      <c r="F288" t="s">
        <v>19</v>
      </c>
      <c r="G288" s="2">
        <v>1298</v>
      </c>
      <c r="H288" s="3">
        <v>65.930000000000007</v>
      </c>
      <c r="I288">
        <v>58.95</v>
      </c>
      <c r="K288" t="s">
        <v>16</v>
      </c>
      <c r="L288" s="3">
        <f t="shared" si="4"/>
        <v>76517.100000000006</v>
      </c>
    </row>
    <row r="289" spans="1:12">
      <c r="A289" t="s">
        <v>315</v>
      </c>
      <c r="B289" t="s">
        <v>38</v>
      </c>
      <c r="C289" s="1">
        <v>44613</v>
      </c>
      <c r="D289" s="1">
        <v>44633</v>
      </c>
      <c r="E289" t="s">
        <v>24</v>
      </c>
      <c r="F289" t="s">
        <v>19</v>
      </c>
      <c r="G289">
        <v>434</v>
      </c>
      <c r="H289" s="3">
        <v>36.159999999999997</v>
      </c>
      <c r="I289">
        <v>34.79</v>
      </c>
      <c r="J289">
        <v>41</v>
      </c>
      <c r="K289" t="s">
        <v>16</v>
      </c>
      <c r="L289" s="3">
        <f t="shared" si="4"/>
        <v>15098.859999999999</v>
      </c>
    </row>
    <row r="290" spans="1:12">
      <c r="A290" t="s">
        <v>316</v>
      </c>
      <c r="B290" t="s">
        <v>29</v>
      </c>
      <c r="C290" s="1">
        <v>45229</v>
      </c>
      <c r="D290" s="1">
        <v>45234</v>
      </c>
      <c r="E290" t="s">
        <v>40</v>
      </c>
      <c r="F290" t="s">
        <v>19</v>
      </c>
      <c r="G290" s="2">
        <v>1476</v>
      </c>
      <c r="H290" s="3">
        <v>68.849999999999994</v>
      </c>
      <c r="I290">
        <v>65.28</v>
      </c>
      <c r="J290">
        <v>43</v>
      </c>
      <c r="K290" t="s">
        <v>16</v>
      </c>
      <c r="L290" s="3">
        <f t="shared" si="4"/>
        <v>96353.279999999999</v>
      </c>
    </row>
    <row r="291" spans="1:12">
      <c r="A291" t="s">
        <v>317</v>
      </c>
      <c r="B291" t="s">
        <v>18</v>
      </c>
      <c r="C291" s="1">
        <v>45115</v>
      </c>
      <c r="E291" t="s">
        <v>26</v>
      </c>
      <c r="F291" t="s">
        <v>33</v>
      </c>
      <c r="G291" s="2">
        <v>1711</v>
      </c>
      <c r="H291" s="3">
        <v>26.04</v>
      </c>
      <c r="I291">
        <v>24.81</v>
      </c>
      <c r="J291">
        <v>290</v>
      </c>
      <c r="K291" t="s">
        <v>16</v>
      </c>
      <c r="L291" s="3">
        <f t="shared" si="4"/>
        <v>42449.909999999996</v>
      </c>
    </row>
    <row r="292" spans="1:12">
      <c r="A292" t="s">
        <v>318</v>
      </c>
      <c r="B292" t="s">
        <v>21</v>
      </c>
      <c r="C292" s="1">
        <v>44577</v>
      </c>
      <c r="D292" s="1">
        <v>44583</v>
      </c>
      <c r="E292" t="s">
        <v>24</v>
      </c>
      <c r="F292" t="s">
        <v>19</v>
      </c>
      <c r="G292" s="2">
        <v>1203</v>
      </c>
      <c r="H292" s="3">
        <v>53.3</v>
      </c>
      <c r="I292">
        <v>47.68</v>
      </c>
      <c r="J292">
        <v>49</v>
      </c>
      <c r="K292" t="s">
        <v>16</v>
      </c>
      <c r="L292" s="3">
        <f t="shared" si="4"/>
        <v>57359.040000000001</v>
      </c>
    </row>
    <row r="293" spans="1:12">
      <c r="A293" t="s">
        <v>319</v>
      </c>
      <c r="B293" t="s">
        <v>13</v>
      </c>
      <c r="C293" s="1">
        <v>44657</v>
      </c>
      <c r="D293" s="1">
        <v>44658</v>
      </c>
      <c r="E293" t="s">
        <v>40</v>
      </c>
      <c r="F293" t="s">
        <v>19</v>
      </c>
      <c r="G293" s="2">
        <v>1126</v>
      </c>
      <c r="H293" s="3">
        <v>58.8</v>
      </c>
      <c r="I293">
        <v>52.22</v>
      </c>
      <c r="K293" t="s">
        <v>16</v>
      </c>
      <c r="L293" s="3">
        <f t="shared" si="4"/>
        <v>58799.72</v>
      </c>
    </row>
    <row r="294" spans="1:12">
      <c r="A294" t="s">
        <v>320</v>
      </c>
      <c r="B294" t="s">
        <v>29</v>
      </c>
      <c r="C294" s="1">
        <v>44804</v>
      </c>
      <c r="D294" s="1">
        <v>44816</v>
      </c>
      <c r="E294" t="s">
        <v>24</v>
      </c>
      <c r="F294" t="s">
        <v>19</v>
      </c>
      <c r="G294" s="2">
        <v>1757</v>
      </c>
      <c r="H294" s="3">
        <v>15.18</v>
      </c>
      <c r="I294">
        <v>13.06</v>
      </c>
      <c r="J294">
        <v>63</v>
      </c>
      <c r="K294" t="s">
        <v>16</v>
      </c>
      <c r="L294" s="3">
        <f t="shared" si="4"/>
        <v>22946.420000000002</v>
      </c>
    </row>
    <row r="295" spans="1:12">
      <c r="A295" t="s">
        <v>321</v>
      </c>
      <c r="B295" t="s">
        <v>29</v>
      </c>
      <c r="C295" s="1">
        <v>44732</v>
      </c>
      <c r="D295" s="1">
        <v>44740</v>
      </c>
      <c r="E295" t="s">
        <v>22</v>
      </c>
      <c r="F295" t="s">
        <v>19</v>
      </c>
      <c r="G295">
        <v>779</v>
      </c>
      <c r="H295" s="3">
        <v>41.3</v>
      </c>
      <c r="I295">
        <v>36.28</v>
      </c>
      <c r="J295">
        <v>20</v>
      </c>
      <c r="K295" t="s">
        <v>16</v>
      </c>
      <c r="L295" s="3">
        <f t="shared" si="4"/>
        <v>28262.120000000003</v>
      </c>
    </row>
    <row r="296" spans="1:12">
      <c r="A296" t="s">
        <v>322</v>
      </c>
      <c r="B296" t="s">
        <v>18</v>
      </c>
      <c r="C296" s="1">
        <v>44978</v>
      </c>
      <c r="D296" s="1">
        <v>44979</v>
      </c>
      <c r="E296" t="s">
        <v>14</v>
      </c>
      <c r="F296" t="s">
        <v>19</v>
      </c>
      <c r="G296" s="2">
        <v>1745</v>
      </c>
      <c r="H296" s="3">
        <v>23.53</v>
      </c>
      <c r="I296">
        <v>22.57</v>
      </c>
      <c r="J296">
        <v>282</v>
      </c>
      <c r="K296" t="s">
        <v>27</v>
      </c>
      <c r="L296" s="3">
        <f t="shared" si="4"/>
        <v>39384.65</v>
      </c>
    </row>
    <row r="297" spans="1:12">
      <c r="A297" t="s">
        <v>323</v>
      </c>
      <c r="B297" t="s">
        <v>18</v>
      </c>
      <c r="C297" s="1">
        <v>45059</v>
      </c>
      <c r="D297" s="1">
        <v>45061</v>
      </c>
      <c r="E297" t="s">
        <v>26</v>
      </c>
      <c r="F297" t="s">
        <v>19</v>
      </c>
      <c r="G297" s="2">
        <v>1783</v>
      </c>
      <c r="H297" s="3">
        <v>16.96</v>
      </c>
      <c r="I297">
        <v>15.8</v>
      </c>
      <c r="J297">
        <v>295</v>
      </c>
      <c r="K297" t="s">
        <v>16</v>
      </c>
      <c r="L297" s="3">
        <f t="shared" si="4"/>
        <v>28171.4</v>
      </c>
    </row>
    <row r="298" spans="1:12">
      <c r="A298" t="s">
        <v>324</v>
      </c>
      <c r="B298" t="s">
        <v>13</v>
      </c>
      <c r="C298" s="1">
        <v>45054</v>
      </c>
      <c r="D298" s="1">
        <v>45068</v>
      </c>
      <c r="E298" t="s">
        <v>14</v>
      </c>
      <c r="F298" t="s">
        <v>33</v>
      </c>
      <c r="G298" s="2">
        <v>1489</v>
      </c>
      <c r="H298" s="3">
        <v>107.02</v>
      </c>
      <c r="I298">
        <v>93.3</v>
      </c>
      <c r="K298" t="s">
        <v>16</v>
      </c>
      <c r="L298" s="3">
        <f t="shared" si="4"/>
        <v>138923.69999999998</v>
      </c>
    </row>
    <row r="299" spans="1:12">
      <c r="A299" t="s">
        <v>325</v>
      </c>
      <c r="B299" t="s">
        <v>13</v>
      </c>
      <c r="C299" s="1">
        <v>44780</v>
      </c>
      <c r="D299" s="1">
        <v>44783</v>
      </c>
      <c r="E299" t="s">
        <v>14</v>
      </c>
      <c r="F299" t="s">
        <v>19</v>
      </c>
      <c r="G299">
        <v>296</v>
      </c>
      <c r="H299" s="3">
        <v>40.380000000000003</v>
      </c>
      <c r="I299">
        <v>35.25</v>
      </c>
      <c r="K299" t="s">
        <v>16</v>
      </c>
      <c r="L299" s="3">
        <f t="shared" si="4"/>
        <v>10434</v>
      </c>
    </row>
    <row r="300" spans="1:12">
      <c r="A300" t="s">
        <v>326</v>
      </c>
      <c r="B300" t="s">
        <v>29</v>
      </c>
      <c r="C300" s="1">
        <v>44972</v>
      </c>
      <c r="D300" s="1">
        <v>44984</v>
      </c>
      <c r="E300" t="s">
        <v>22</v>
      </c>
      <c r="F300" t="s">
        <v>19</v>
      </c>
      <c r="G300">
        <v>885</v>
      </c>
      <c r="H300" s="3">
        <v>88.28</v>
      </c>
      <c r="I300">
        <v>80.8</v>
      </c>
      <c r="J300">
        <v>31</v>
      </c>
      <c r="K300" t="s">
        <v>16</v>
      </c>
      <c r="L300" s="3">
        <f t="shared" si="4"/>
        <v>71508</v>
      </c>
    </row>
    <row r="301" spans="1:12">
      <c r="A301" t="s">
        <v>327</v>
      </c>
      <c r="B301" t="s">
        <v>29</v>
      </c>
      <c r="C301" s="1">
        <v>44622</v>
      </c>
      <c r="D301" s="1">
        <v>44626</v>
      </c>
      <c r="E301" t="s">
        <v>26</v>
      </c>
      <c r="F301" t="s">
        <v>35</v>
      </c>
      <c r="G301" s="2">
        <v>1512</v>
      </c>
      <c r="H301" s="3">
        <v>33.25</v>
      </c>
      <c r="I301">
        <v>30.15</v>
      </c>
      <c r="J301">
        <v>53</v>
      </c>
      <c r="K301" t="s">
        <v>16</v>
      </c>
      <c r="L301" s="3">
        <f t="shared" si="4"/>
        <v>45586.799999999996</v>
      </c>
    </row>
    <row r="302" spans="1:12">
      <c r="A302" t="s">
        <v>328</v>
      </c>
      <c r="B302" t="s">
        <v>18</v>
      </c>
      <c r="C302" s="1">
        <v>44730</v>
      </c>
      <c r="D302" s="1">
        <v>44738</v>
      </c>
      <c r="E302" t="s">
        <v>14</v>
      </c>
      <c r="F302" t="s">
        <v>19</v>
      </c>
      <c r="G302">
        <v>252</v>
      </c>
      <c r="H302" s="3">
        <v>73.12</v>
      </c>
      <c r="I302">
        <v>67.64</v>
      </c>
      <c r="K302" t="s">
        <v>27</v>
      </c>
      <c r="L302" s="3">
        <f t="shared" si="4"/>
        <v>17045.28</v>
      </c>
    </row>
    <row r="303" spans="1:12">
      <c r="A303" t="s">
        <v>329</v>
      </c>
      <c r="B303" t="s">
        <v>13</v>
      </c>
      <c r="C303" s="1">
        <v>44950</v>
      </c>
      <c r="E303" t="s">
        <v>40</v>
      </c>
      <c r="F303" t="s">
        <v>15</v>
      </c>
      <c r="G303" s="2">
        <v>1257</v>
      </c>
      <c r="H303" s="3">
        <v>83.13</v>
      </c>
      <c r="I303">
        <v>81.89</v>
      </c>
      <c r="J303">
        <v>30</v>
      </c>
      <c r="K303" t="s">
        <v>16</v>
      </c>
      <c r="L303" s="3">
        <f t="shared" si="4"/>
        <v>102935.73</v>
      </c>
    </row>
    <row r="304" spans="1:12">
      <c r="A304" t="s">
        <v>330</v>
      </c>
      <c r="B304" t="s">
        <v>13</v>
      </c>
      <c r="C304" s="1">
        <v>44564</v>
      </c>
      <c r="D304" s="1">
        <v>44581</v>
      </c>
      <c r="E304" t="s">
        <v>24</v>
      </c>
      <c r="F304" t="s">
        <v>19</v>
      </c>
      <c r="G304">
        <v>172</v>
      </c>
      <c r="H304" s="3">
        <v>63.61</v>
      </c>
      <c r="I304">
        <v>55.92</v>
      </c>
      <c r="J304">
        <v>4</v>
      </c>
      <c r="K304" t="s">
        <v>16</v>
      </c>
      <c r="L304" s="3">
        <f t="shared" si="4"/>
        <v>9618.24</v>
      </c>
    </row>
    <row r="305" spans="1:12">
      <c r="A305" t="s">
        <v>331</v>
      </c>
      <c r="B305" t="s">
        <v>29</v>
      </c>
      <c r="C305" s="1">
        <v>44961</v>
      </c>
      <c r="D305" s="1">
        <v>44962</v>
      </c>
      <c r="E305" t="s">
        <v>24</v>
      </c>
      <c r="F305" t="s">
        <v>35</v>
      </c>
      <c r="G305">
        <v>450</v>
      </c>
      <c r="H305" s="3">
        <v>55.85</v>
      </c>
      <c r="I305">
        <v>49.88</v>
      </c>
      <c r="J305">
        <v>9</v>
      </c>
      <c r="K305" t="s">
        <v>16</v>
      </c>
      <c r="L305" s="3">
        <f t="shared" si="4"/>
        <v>22446</v>
      </c>
    </row>
    <row r="306" spans="1:12">
      <c r="A306" t="s">
        <v>332</v>
      </c>
      <c r="B306" t="s">
        <v>21</v>
      </c>
      <c r="C306" s="1">
        <v>44833</v>
      </c>
      <c r="D306" s="1">
        <v>44849</v>
      </c>
      <c r="E306" t="s">
        <v>40</v>
      </c>
      <c r="F306" t="s">
        <v>19</v>
      </c>
      <c r="G306">
        <v>816</v>
      </c>
      <c r="H306" s="3">
        <v>48.95</v>
      </c>
      <c r="I306">
        <v>43.42</v>
      </c>
      <c r="J306">
        <v>45</v>
      </c>
      <c r="K306" t="s">
        <v>16</v>
      </c>
      <c r="L306" s="3">
        <f t="shared" si="4"/>
        <v>35430.720000000001</v>
      </c>
    </row>
    <row r="307" spans="1:12">
      <c r="A307" t="s">
        <v>333</v>
      </c>
      <c r="B307" t="s">
        <v>29</v>
      </c>
      <c r="C307" s="1">
        <v>45027</v>
      </c>
      <c r="D307" s="1">
        <v>45041</v>
      </c>
      <c r="E307" t="s">
        <v>24</v>
      </c>
      <c r="F307" t="s">
        <v>19</v>
      </c>
      <c r="G307">
        <v>343</v>
      </c>
      <c r="H307" s="3">
        <v>44.5</v>
      </c>
      <c r="I307">
        <v>38.57</v>
      </c>
      <c r="J307">
        <v>7</v>
      </c>
      <c r="K307" t="s">
        <v>16</v>
      </c>
      <c r="L307" s="3">
        <f t="shared" si="4"/>
        <v>13229.51</v>
      </c>
    </row>
    <row r="308" spans="1:12">
      <c r="A308" t="s">
        <v>334</v>
      </c>
      <c r="B308" t="s">
        <v>21</v>
      </c>
      <c r="C308" s="1">
        <v>44854</v>
      </c>
      <c r="D308" s="1">
        <v>44870</v>
      </c>
      <c r="E308" t="s">
        <v>22</v>
      </c>
      <c r="F308" t="s">
        <v>19</v>
      </c>
      <c r="G308">
        <v>329</v>
      </c>
      <c r="H308" s="3">
        <v>97.87</v>
      </c>
      <c r="I308">
        <v>85.35</v>
      </c>
      <c r="J308">
        <v>21</v>
      </c>
      <c r="K308" t="s">
        <v>27</v>
      </c>
      <c r="L308" s="3">
        <f t="shared" si="4"/>
        <v>28080.149999999998</v>
      </c>
    </row>
    <row r="309" spans="1:12">
      <c r="A309" t="s">
        <v>335</v>
      </c>
      <c r="B309" t="s">
        <v>13</v>
      </c>
      <c r="C309" s="1">
        <v>44995</v>
      </c>
      <c r="D309" s="1">
        <v>45010</v>
      </c>
      <c r="E309" t="s">
        <v>40</v>
      </c>
      <c r="F309" t="s">
        <v>19</v>
      </c>
      <c r="G309" s="2">
        <v>1910</v>
      </c>
      <c r="H309" s="3">
        <v>90.69</v>
      </c>
      <c r="I309">
        <v>85.8</v>
      </c>
      <c r="K309" t="s">
        <v>16</v>
      </c>
      <c r="L309" s="3">
        <f t="shared" si="4"/>
        <v>163878</v>
      </c>
    </row>
    <row r="310" spans="1:12">
      <c r="A310" t="s">
        <v>336</v>
      </c>
      <c r="B310" t="s">
        <v>29</v>
      </c>
      <c r="C310" s="1">
        <v>45275</v>
      </c>
      <c r="D310" s="1">
        <v>45278</v>
      </c>
      <c r="E310" t="s">
        <v>22</v>
      </c>
      <c r="F310" t="s">
        <v>19</v>
      </c>
      <c r="G310">
        <v>933</v>
      </c>
      <c r="H310" s="3">
        <v>107.99</v>
      </c>
      <c r="I310">
        <v>104.29</v>
      </c>
      <c r="J310">
        <v>29</v>
      </c>
      <c r="K310" t="s">
        <v>16</v>
      </c>
      <c r="L310" s="3">
        <f t="shared" si="4"/>
        <v>97302.57</v>
      </c>
    </row>
    <row r="311" spans="1:12">
      <c r="A311" t="s">
        <v>337</v>
      </c>
      <c r="B311" t="s">
        <v>18</v>
      </c>
      <c r="C311" s="1">
        <v>45131</v>
      </c>
      <c r="D311" s="1">
        <v>45136</v>
      </c>
      <c r="E311" t="s">
        <v>26</v>
      </c>
      <c r="F311" t="s">
        <v>19</v>
      </c>
      <c r="G311" s="2">
        <v>1683</v>
      </c>
      <c r="H311" s="3">
        <v>23.09</v>
      </c>
      <c r="I311">
        <v>21.88</v>
      </c>
      <c r="J311">
        <v>253</v>
      </c>
      <c r="K311" t="s">
        <v>16</v>
      </c>
      <c r="L311" s="3">
        <f t="shared" si="4"/>
        <v>36824.04</v>
      </c>
    </row>
    <row r="312" spans="1:12">
      <c r="A312" t="s">
        <v>338</v>
      </c>
      <c r="B312" t="s">
        <v>38</v>
      </c>
      <c r="C312" s="1">
        <v>45239</v>
      </c>
      <c r="D312" s="1">
        <v>45248</v>
      </c>
      <c r="E312" t="s">
        <v>24</v>
      </c>
      <c r="F312" t="s">
        <v>35</v>
      </c>
      <c r="G312">
        <v>247</v>
      </c>
      <c r="H312" s="3">
        <v>84.11</v>
      </c>
      <c r="I312">
        <v>71.97</v>
      </c>
      <c r="K312" t="s">
        <v>16</v>
      </c>
      <c r="L312" s="3">
        <f t="shared" si="4"/>
        <v>17776.59</v>
      </c>
    </row>
    <row r="313" spans="1:12">
      <c r="A313" t="s">
        <v>339</v>
      </c>
      <c r="B313" t="s">
        <v>13</v>
      </c>
      <c r="C313" s="1">
        <v>45060</v>
      </c>
      <c r="D313" s="1">
        <v>45079</v>
      </c>
      <c r="E313" t="s">
        <v>22</v>
      </c>
      <c r="F313" t="s">
        <v>19</v>
      </c>
      <c r="G313" s="2">
        <v>1031</v>
      </c>
      <c r="H313" s="3">
        <v>102.01</v>
      </c>
      <c r="I313">
        <v>98.65</v>
      </c>
      <c r="K313" t="s">
        <v>16</v>
      </c>
      <c r="L313" s="3">
        <f t="shared" si="4"/>
        <v>101708.15000000001</v>
      </c>
    </row>
    <row r="314" spans="1:12">
      <c r="A314" t="s">
        <v>340</v>
      </c>
      <c r="B314" t="s">
        <v>13</v>
      </c>
      <c r="C314" s="1">
        <v>44720</v>
      </c>
      <c r="D314" s="1">
        <v>44731</v>
      </c>
      <c r="E314" t="s">
        <v>24</v>
      </c>
      <c r="F314" t="s">
        <v>19</v>
      </c>
      <c r="G314" s="2">
        <v>1980</v>
      </c>
      <c r="H314" s="3">
        <v>26.97</v>
      </c>
      <c r="I314">
        <v>24.16</v>
      </c>
      <c r="J314">
        <v>41</v>
      </c>
      <c r="K314" t="s">
        <v>16</v>
      </c>
      <c r="L314" s="3">
        <f t="shared" si="4"/>
        <v>47836.800000000003</v>
      </c>
    </row>
    <row r="315" spans="1:12">
      <c r="A315" t="s">
        <v>341</v>
      </c>
      <c r="B315" t="s">
        <v>29</v>
      </c>
      <c r="C315" s="1">
        <v>44756</v>
      </c>
      <c r="D315" s="1">
        <v>44776</v>
      </c>
      <c r="E315" t="s">
        <v>26</v>
      </c>
      <c r="F315" t="s">
        <v>19</v>
      </c>
      <c r="G315" s="2">
        <v>1584</v>
      </c>
      <c r="H315" s="3">
        <v>16.46</v>
      </c>
      <c r="I315">
        <v>14.2</v>
      </c>
      <c r="J315">
        <v>57</v>
      </c>
      <c r="K315" t="s">
        <v>16</v>
      </c>
      <c r="L315" s="3">
        <f t="shared" si="4"/>
        <v>22492.799999999999</v>
      </c>
    </row>
    <row r="316" spans="1:12">
      <c r="A316" t="s">
        <v>342</v>
      </c>
      <c r="B316" t="s">
        <v>38</v>
      </c>
      <c r="C316" s="1">
        <v>44865</v>
      </c>
      <c r="D316" s="1">
        <v>44880</v>
      </c>
      <c r="E316" t="s">
        <v>14</v>
      </c>
      <c r="F316" t="s">
        <v>19</v>
      </c>
      <c r="G316">
        <v>801</v>
      </c>
      <c r="H316" s="3">
        <v>80.150000000000006</v>
      </c>
      <c r="I316">
        <v>70.91</v>
      </c>
      <c r="K316" t="s">
        <v>16</v>
      </c>
      <c r="L316" s="3">
        <f t="shared" si="4"/>
        <v>56798.909999999996</v>
      </c>
    </row>
    <row r="317" spans="1:12">
      <c r="A317" t="s">
        <v>343</v>
      </c>
      <c r="B317" t="s">
        <v>38</v>
      </c>
      <c r="C317" s="1">
        <v>44784</v>
      </c>
      <c r="D317" s="1">
        <v>44798</v>
      </c>
      <c r="E317" t="s">
        <v>24</v>
      </c>
      <c r="F317" t="s">
        <v>19</v>
      </c>
      <c r="G317">
        <v>193</v>
      </c>
      <c r="H317" s="3">
        <v>63.86</v>
      </c>
      <c r="I317">
        <v>57.46</v>
      </c>
      <c r="K317" t="s">
        <v>16</v>
      </c>
      <c r="L317" s="3">
        <f t="shared" si="4"/>
        <v>11089.78</v>
      </c>
    </row>
    <row r="318" spans="1:12">
      <c r="A318" t="s">
        <v>344</v>
      </c>
      <c r="B318" t="s">
        <v>38</v>
      </c>
      <c r="C318" s="1">
        <v>44621</v>
      </c>
      <c r="D318" s="1">
        <v>44625</v>
      </c>
      <c r="E318" t="s">
        <v>26</v>
      </c>
      <c r="F318" t="s">
        <v>19</v>
      </c>
      <c r="G318">
        <v>658</v>
      </c>
      <c r="H318" s="3">
        <v>86.62</v>
      </c>
      <c r="I318">
        <v>79.849999999999994</v>
      </c>
      <c r="J318">
        <v>72</v>
      </c>
      <c r="K318" t="s">
        <v>16</v>
      </c>
      <c r="L318" s="3">
        <f t="shared" si="4"/>
        <v>52541.299999999996</v>
      </c>
    </row>
    <row r="319" spans="1:12">
      <c r="A319" t="s">
        <v>345</v>
      </c>
      <c r="B319" t="s">
        <v>29</v>
      </c>
      <c r="C319" s="1">
        <v>45155</v>
      </c>
      <c r="D319" s="1">
        <v>45173</v>
      </c>
      <c r="E319" t="s">
        <v>40</v>
      </c>
      <c r="F319" t="s">
        <v>19</v>
      </c>
      <c r="G319" s="2">
        <v>1274</v>
      </c>
      <c r="H319" s="3">
        <v>24.72</v>
      </c>
      <c r="I319">
        <v>23.36</v>
      </c>
      <c r="J319">
        <v>37</v>
      </c>
      <c r="K319" t="s">
        <v>16</v>
      </c>
      <c r="L319" s="3">
        <f t="shared" si="4"/>
        <v>29760.639999999999</v>
      </c>
    </row>
    <row r="320" spans="1:12">
      <c r="A320" t="s">
        <v>346</v>
      </c>
      <c r="B320" t="s">
        <v>29</v>
      </c>
      <c r="C320" s="1">
        <v>45117</v>
      </c>
      <c r="D320" s="1">
        <v>45124</v>
      </c>
      <c r="E320" t="s">
        <v>24</v>
      </c>
      <c r="F320" t="s">
        <v>33</v>
      </c>
      <c r="G320" s="2">
        <v>1197</v>
      </c>
      <c r="H320" s="3">
        <v>88.92</v>
      </c>
      <c r="I320">
        <v>78.819999999999993</v>
      </c>
      <c r="J320">
        <v>31</v>
      </c>
      <c r="K320" t="s">
        <v>16</v>
      </c>
      <c r="L320" s="3">
        <f t="shared" si="4"/>
        <v>94347.54</v>
      </c>
    </row>
    <row r="321" spans="1:12">
      <c r="A321" t="s">
        <v>347</v>
      </c>
      <c r="B321" t="s">
        <v>21</v>
      </c>
      <c r="C321" s="1">
        <v>44624</v>
      </c>
      <c r="D321" s="1">
        <v>44632</v>
      </c>
      <c r="E321" t="s">
        <v>40</v>
      </c>
      <c r="F321" t="s">
        <v>19</v>
      </c>
      <c r="G321">
        <v>236</v>
      </c>
      <c r="H321" s="3">
        <v>28.43</v>
      </c>
      <c r="I321">
        <v>28.11</v>
      </c>
      <c r="J321">
        <v>11</v>
      </c>
      <c r="K321" t="s">
        <v>16</v>
      </c>
      <c r="L321" s="3">
        <f t="shared" si="4"/>
        <v>6633.96</v>
      </c>
    </row>
    <row r="322" spans="1:12">
      <c r="A322" t="s">
        <v>348</v>
      </c>
      <c r="B322" t="s">
        <v>21</v>
      </c>
      <c r="C322" s="1">
        <v>44883</v>
      </c>
      <c r="D322" s="1">
        <v>44898</v>
      </c>
      <c r="E322" t="s">
        <v>26</v>
      </c>
      <c r="F322" t="s">
        <v>33</v>
      </c>
      <c r="G322" s="2">
        <v>1399</v>
      </c>
      <c r="H322" s="3">
        <v>25.97</v>
      </c>
      <c r="I322">
        <v>22.19</v>
      </c>
      <c r="J322">
        <v>62</v>
      </c>
      <c r="K322" t="s">
        <v>16</v>
      </c>
      <c r="L322" s="3">
        <f t="shared" si="4"/>
        <v>31043.81</v>
      </c>
    </row>
    <row r="323" spans="1:12">
      <c r="A323" t="s">
        <v>349</v>
      </c>
      <c r="B323" t="s">
        <v>21</v>
      </c>
      <c r="C323" s="1">
        <v>44620</v>
      </c>
      <c r="D323" s="1">
        <v>44624</v>
      </c>
      <c r="E323" t="s">
        <v>40</v>
      </c>
      <c r="F323" t="s">
        <v>19</v>
      </c>
      <c r="G323">
        <v>513</v>
      </c>
      <c r="H323" s="3">
        <v>24.91</v>
      </c>
      <c r="I323">
        <v>22.58</v>
      </c>
      <c r="J323">
        <v>29</v>
      </c>
      <c r="K323" t="s">
        <v>16</v>
      </c>
      <c r="L323" s="3">
        <f t="shared" ref="L323:L386" si="5">I323*G323</f>
        <v>11583.539999999999</v>
      </c>
    </row>
    <row r="324" spans="1:12">
      <c r="A324" t="s">
        <v>350</v>
      </c>
      <c r="B324" t="s">
        <v>18</v>
      </c>
      <c r="C324" s="1">
        <v>44613</v>
      </c>
      <c r="D324" s="1">
        <v>44624</v>
      </c>
      <c r="E324" t="s">
        <v>22</v>
      </c>
      <c r="F324" t="s">
        <v>19</v>
      </c>
      <c r="G324" s="2">
        <v>1422</v>
      </c>
      <c r="H324" s="3">
        <v>83.73</v>
      </c>
      <c r="I324">
        <v>76.47</v>
      </c>
      <c r="J324">
        <v>198</v>
      </c>
      <c r="K324" t="s">
        <v>16</v>
      </c>
      <c r="L324" s="3">
        <f t="shared" si="5"/>
        <v>108740.34</v>
      </c>
    </row>
    <row r="325" spans="1:12">
      <c r="A325" t="s">
        <v>351</v>
      </c>
      <c r="B325" t="s">
        <v>13</v>
      </c>
      <c r="C325" s="1">
        <v>45160</v>
      </c>
      <c r="D325" s="1">
        <v>45172</v>
      </c>
      <c r="E325" t="s">
        <v>14</v>
      </c>
      <c r="F325" t="s">
        <v>19</v>
      </c>
      <c r="G325" s="2">
        <v>1844</v>
      </c>
      <c r="H325" s="3">
        <v>76.510000000000005</v>
      </c>
      <c r="I325">
        <v>73.05</v>
      </c>
      <c r="K325" t="s">
        <v>16</v>
      </c>
      <c r="L325" s="3">
        <f t="shared" si="5"/>
        <v>134704.19999999998</v>
      </c>
    </row>
    <row r="326" spans="1:12">
      <c r="A326" t="s">
        <v>352</v>
      </c>
      <c r="B326" t="s">
        <v>21</v>
      </c>
      <c r="C326" s="1">
        <v>45050</v>
      </c>
      <c r="E326" t="s">
        <v>40</v>
      </c>
      <c r="F326" t="s">
        <v>19</v>
      </c>
      <c r="G326">
        <v>709</v>
      </c>
      <c r="H326" s="3">
        <v>61.64</v>
      </c>
      <c r="I326">
        <v>54.55</v>
      </c>
      <c r="J326">
        <v>41</v>
      </c>
      <c r="K326" t="s">
        <v>16</v>
      </c>
      <c r="L326" s="3">
        <f t="shared" si="5"/>
        <v>38675.949999999997</v>
      </c>
    </row>
    <row r="327" spans="1:12">
      <c r="A327" t="s">
        <v>353</v>
      </c>
      <c r="B327" t="s">
        <v>18</v>
      </c>
      <c r="C327" s="1">
        <v>45076</v>
      </c>
      <c r="D327" s="1">
        <v>45092</v>
      </c>
      <c r="E327" t="s">
        <v>22</v>
      </c>
      <c r="F327" t="s">
        <v>19</v>
      </c>
      <c r="G327">
        <v>813</v>
      </c>
      <c r="H327" s="3">
        <v>45.68</v>
      </c>
      <c r="I327">
        <v>41.78</v>
      </c>
      <c r="K327" t="s">
        <v>27</v>
      </c>
      <c r="L327" s="3">
        <f t="shared" si="5"/>
        <v>33967.14</v>
      </c>
    </row>
    <row r="328" spans="1:12">
      <c r="A328" t="s">
        <v>354</v>
      </c>
      <c r="B328" t="s">
        <v>18</v>
      </c>
      <c r="C328" s="1">
        <v>45105</v>
      </c>
      <c r="D328" s="1">
        <v>45108</v>
      </c>
      <c r="E328" t="s">
        <v>14</v>
      </c>
      <c r="F328" t="s">
        <v>19</v>
      </c>
      <c r="G328" s="2">
        <v>1004</v>
      </c>
      <c r="H328" s="3">
        <v>96.51</v>
      </c>
      <c r="I328">
        <v>92.9</v>
      </c>
      <c r="J328">
        <v>146</v>
      </c>
      <c r="K328" t="s">
        <v>27</v>
      </c>
      <c r="L328" s="3">
        <f t="shared" si="5"/>
        <v>93271.6</v>
      </c>
    </row>
    <row r="329" spans="1:12">
      <c r="A329" t="s">
        <v>355</v>
      </c>
      <c r="B329" t="s">
        <v>29</v>
      </c>
      <c r="C329" s="1">
        <v>44723</v>
      </c>
      <c r="D329" s="1">
        <v>44727</v>
      </c>
      <c r="E329" t="s">
        <v>26</v>
      </c>
      <c r="F329" t="s">
        <v>19</v>
      </c>
      <c r="G329">
        <v>452</v>
      </c>
      <c r="H329" s="3">
        <v>46.45</v>
      </c>
      <c r="I329">
        <v>40.39</v>
      </c>
      <c r="J329">
        <v>9</v>
      </c>
      <c r="K329" t="s">
        <v>16</v>
      </c>
      <c r="L329" s="3">
        <f t="shared" si="5"/>
        <v>18256.28</v>
      </c>
    </row>
    <row r="330" spans="1:12">
      <c r="A330" t="s">
        <v>356</v>
      </c>
      <c r="B330" t="s">
        <v>38</v>
      </c>
      <c r="C330" s="1">
        <v>44620</v>
      </c>
      <c r="D330" s="1">
        <v>44632</v>
      </c>
      <c r="E330" t="s">
        <v>26</v>
      </c>
      <c r="F330" t="s">
        <v>35</v>
      </c>
      <c r="G330" s="2">
        <v>1419</v>
      </c>
      <c r="H330" s="3">
        <v>83.91</v>
      </c>
      <c r="I330">
        <v>71.459999999999994</v>
      </c>
      <c r="J330">
        <v>137</v>
      </c>
      <c r="K330" t="s">
        <v>16</v>
      </c>
      <c r="L330" s="3">
        <f t="shared" si="5"/>
        <v>101401.73999999999</v>
      </c>
    </row>
    <row r="331" spans="1:12">
      <c r="A331" t="s">
        <v>357</v>
      </c>
      <c r="B331" t="s">
        <v>38</v>
      </c>
      <c r="C331" s="1">
        <v>45082</v>
      </c>
      <c r="D331" s="1">
        <v>45100</v>
      </c>
      <c r="E331" t="s">
        <v>24</v>
      </c>
      <c r="F331" t="s">
        <v>19</v>
      </c>
      <c r="G331" s="2">
        <v>1584</v>
      </c>
      <c r="H331" s="3">
        <v>53.73</v>
      </c>
      <c r="I331">
        <v>51.92</v>
      </c>
      <c r="J331">
        <v>167</v>
      </c>
      <c r="K331" t="s">
        <v>27</v>
      </c>
      <c r="L331" s="3">
        <f t="shared" si="5"/>
        <v>82241.279999999999</v>
      </c>
    </row>
    <row r="332" spans="1:12">
      <c r="A332" t="s">
        <v>358</v>
      </c>
      <c r="B332" t="s">
        <v>21</v>
      </c>
      <c r="C332" s="1">
        <v>44644</v>
      </c>
      <c r="D332" s="1">
        <v>44662</v>
      </c>
      <c r="E332" t="s">
        <v>22</v>
      </c>
      <c r="F332" t="s">
        <v>35</v>
      </c>
      <c r="G332">
        <v>196</v>
      </c>
      <c r="H332" s="3">
        <v>44.36</v>
      </c>
      <c r="I332">
        <v>43.81</v>
      </c>
      <c r="J332">
        <v>6</v>
      </c>
      <c r="K332" t="s">
        <v>16</v>
      </c>
      <c r="L332" s="3">
        <f t="shared" si="5"/>
        <v>8586.76</v>
      </c>
    </row>
    <row r="333" spans="1:12">
      <c r="A333" t="s">
        <v>359</v>
      </c>
      <c r="B333" t="s">
        <v>13</v>
      </c>
      <c r="C333" s="1">
        <v>44752</v>
      </c>
      <c r="D333" s="1">
        <v>44756</v>
      </c>
      <c r="E333" t="s">
        <v>14</v>
      </c>
      <c r="F333" t="s">
        <v>19</v>
      </c>
      <c r="G333" s="2">
        <v>1221</v>
      </c>
      <c r="H333" s="3">
        <v>53.19</v>
      </c>
      <c r="I333">
        <v>46.18</v>
      </c>
      <c r="J333">
        <v>29</v>
      </c>
      <c r="K333" t="s">
        <v>16</v>
      </c>
      <c r="L333" s="3">
        <f t="shared" si="5"/>
        <v>56385.78</v>
      </c>
    </row>
    <row r="334" spans="1:12">
      <c r="A334" t="s">
        <v>360</v>
      </c>
      <c r="B334" t="s">
        <v>13</v>
      </c>
      <c r="C334" s="1">
        <v>44632</v>
      </c>
      <c r="D334" s="1">
        <v>44646</v>
      </c>
      <c r="E334" t="s">
        <v>24</v>
      </c>
      <c r="F334" t="s">
        <v>19</v>
      </c>
      <c r="G334">
        <v>913</v>
      </c>
      <c r="H334" s="3">
        <v>37.5</v>
      </c>
      <c r="I334">
        <v>36.200000000000003</v>
      </c>
      <c r="K334" t="s">
        <v>16</v>
      </c>
      <c r="L334" s="3">
        <f t="shared" si="5"/>
        <v>33050.600000000006</v>
      </c>
    </row>
    <row r="335" spans="1:12">
      <c r="A335" t="s">
        <v>361</v>
      </c>
      <c r="B335" t="s">
        <v>13</v>
      </c>
      <c r="C335" s="1">
        <v>45171</v>
      </c>
      <c r="D335" s="1">
        <v>45173</v>
      </c>
      <c r="E335" t="s">
        <v>24</v>
      </c>
      <c r="F335" t="s">
        <v>19</v>
      </c>
      <c r="G335" s="2">
        <v>1784</v>
      </c>
      <c r="H335" s="3">
        <v>85.01</v>
      </c>
      <c r="I335">
        <v>76.69</v>
      </c>
      <c r="J335">
        <v>37</v>
      </c>
      <c r="K335" t="s">
        <v>16</v>
      </c>
      <c r="L335" s="3">
        <f t="shared" si="5"/>
        <v>136814.96</v>
      </c>
    </row>
    <row r="336" spans="1:12">
      <c r="A336" t="s">
        <v>362</v>
      </c>
      <c r="B336" t="s">
        <v>18</v>
      </c>
      <c r="C336" s="1">
        <v>44631</v>
      </c>
      <c r="E336" t="s">
        <v>26</v>
      </c>
      <c r="F336" t="s">
        <v>19</v>
      </c>
      <c r="G336" s="2">
        <v>1893</v>
      </c>
      <c r="H336" s="3">
        <v>55.8</v>
      </c>
      <c r="I336">
        <v>52.35</v>
      </c>
      <c r="K336" t="s">
        <v>16</v>
      </c>
      <c r="L336" s="3">
        <f t="shared" si="5"/>
        <v>99098.55</v>
      </c>
    </row>
    <row r="337" spans="1:12">
      <c r="A337" t="s">
        <v>363</v>
      </c>
      <c r="B337" t="s">
        <v>18</v>
      </c>
      <c r="C337" s="1">
        <v>45253</v>
      </c>
      <c r="D337" s="1">
        <v>45265</v>
      </c>
      <c r="E337" t="s">
        <v>40</v>
      </c>
      <c r="F337" t="s">
        <v>35</v>
      </c>
      <c r="G337">
        <v>538</v>
      </c>
      <c r="H337" s="3">
        <v>34.299999999999997</v>
      </c>
      <c r="I337">
        <v>32.25</v>
      </c>
      <c r="J337">
        <v>84</v>
      </c>
      <c r="K337" t="s">
        <v>27</v>
      </c>
      <c r="L337" s="3">
        <f t="shared" si="5"/>
        <v>17350.5</v>
      </c>
    </row>
    <row r="338" spans="1:12">
      <c r="A338" t="s">
        <v>364</v>
      </c>
      <c r="B338" t="s">
        <v>18</v>
      </c>
      <c r="C338" s="1">
        <v>44802</v>
      </c>
      <c r="D338" s="1">
        <v>44819</v>
      </c>
      <c r="E338" t="s">
        <v>14</v>
      </c>
      <c r="F338" t="s">
        <v>35</v>
      </c>
      <c r="G338">
        <v>978</v>
      </c>
      <c r="H338" s="3">
        <v>94.15</v>
      </c>
      <c r="I338">
        <v>87.7</v>
      </c>
      <c r="J338">
        <v>149</v>
      </c>
      <c r="K338" t="s">
        <v>27</v>
      </c>
      <c r="L338" s="3">
        <f t="shared" si="5"/>
        <v>85770.6</v>
      </c>
    </row>
    <row r="339" spans="1:12">
      <c r="A339" t="s">
        <v>365</v>
      </c>
      <c r="B339" t="s">
        <v>29</v>
      </c>
      <c r="C339" s="1">
        <v>44975</v>
      </c>
      <c r="D339" s="1">
        <v>44991</v>
      </c>
      <c r="E339" t="s">
        <v>26</v>
      </c>
      <c r="F339" t="s">
        <v>15</v>
      </c>
      <c r="G339" s="2">
        <v>1713</v>
      </c>
      <c r="H339" s="3">
        <v>47.45</v>
      </c>
      <c r="I339">
        <v>42.05</v>
      </c>
      <c r="J339">
        <v>53</v>
      </c>
      <c r="K339" t="s">
        <v>16</v>
      </c>
      <c r="L339" s="3">
        <f t="shared" si="5"/>
        <v>72031.649999999994</v>
      </c>
    </row>
    <row r="340" spans="1:12">
      <c r="A340" t="s">
        <v>366</v>
      </c>
      <c r="B340" t="s">
        <v>18</v>
      </c>
      <c r="C340" s="1">
        <v>44684</v>
      </c>
      <c r="D340" s="1">
        <v>44688</v>
      </c>
      <c r="E340" t="s">
        <v>26</v>
      </c>
      <c r="F340" t="s">
        <v>35</v>
      </c>
      <c r="G340">
        <v>600</v>
      </c>
      <c r="H340" s="3">
        <v>60.1</v>
      </c>
      <c r="I340">
        <v>57.92</v>
      </c>
      <c r="J340">
        <v>95</v>
      </c>
      <c r="K340" t="s">
        <v>27</v>
      </c>
      <c r="L340" s="3">
        <f t="shared" si="5"/>
        <v>34752</v>
      </c>
    </row>
    <row r="341" spans="1:12">
      <c r="A341" t="s">
        <v>367</v>
      </c>
      <c r="B341" t="s">
        <v>13</v>
      </c>
      <c r="C341" s="1">
        <v>45145</v>
      </c>
      <c r="D341" s="1">
        <v>45163</v>
      </c>
      <c r="E341" t="s">
        <v>40</v>
      </c>
      <c r="F341" t="s">
        <v>35</v>
      </c>
      <c r="G341">
        <v>387</v>
      </c>
      <c r="H341" s="3">
        <v>100.28</v>
      </c>
      <c r="I341">
        <v>85.54</v>
      </c>
      <c r="J341">
        <v>5</v>
      </c>
      <c r="K341" t="s">
        <v>16</v>
      </c>
      <c r="L341" s="3">
        <f t="shared" si="5"/>
        <v>33103.980000000003</v>
      </c>
    </row>
    <row r="342" spans="1:12">
      <c r="A342" t="s">
        <v>368</v>
      </c>
      <c r="B342" t="s">
        <v>13</v>
      </c>
      <c r="C342" s="1">
        <v>44814</v>
      </c>
      <c r="D342" s="1">
        <v>44823</v>
      </c>
      <c r="E342" t="s">
        <v>22</v>
      </c>
      <c r="F342" t="s">
        <v>35</v>
      </c>
      <c r="G342">
        <v>921</v>
      </c>
      <c r="H342" s="3">
        <v>68.83</v>
      </c>
      <c r="I342">
        <v>59.13</v>
      </c>
      <c r="J342">
        <v>22</v>
      </c>
      <c r="K342" t="s">
        <v>16</v>
      </c>
      <c r="L342" s="3">
        <f t="shared" si="5"/>
        <v>54458.73</v>
      </c>
    </row>
    <row r="343" spans="1:12">
      <c r="A343" t="s">
        <v>369</v>
      </c>
      <c r="B343" t="s">
        <v>38</v>
      </c>
      <c r="C343" s="1">
        <v>45154</v>
      </c>
      <c r="D343" s="1">
        <v>45168</v>
      </c>
      <c r="E343" t="s">
        <v>22</v>
      </c>
      <c r="F343" t="s">
        <v>19</v>
      </c>
      <c r="G343">
        <v>690</v>
      </c>
      <c r="H343" s="3">
        <v>22.47</v>
      </c>
      <c r="I343">
        <v>21.94</v>
      </c>
      <c r="J343">
        <v>77</v>
      </c>
      <c r="K343" t="s">
        <v>16</v>
      </c>
      <c r="L343" s="3">
        <f t="shared" si="5"/>
        <v>15138.6</v>
      </c>
    </row>
    <row r="344" spans="1:12">
      <c r="A344" t="s">
        <v>370</v>
      </c>
      <c r="B344" t="s">
        <v>13</v>
      </c>
      <c r="C344" s="1">
        <v>45170</v>
      </c>
      <c r="D344" s="1">
        <v>45190</v>
      </c>
      <c r="E344" t="s">
        <v>14</v>
      </c>
      <c r="F344" t="s">
        <v>15</v>
      </c>
      <c r="G344" s="2">
        <v>1852</v>
      </c>
      <c r="H344" s="3">
        <v>104.04</v>
      </c>
      <c r="I344">
        <v>94.89</v>
      </c>
      <c r="J344">
        <v>36</v>
      </c>
      <c r="K344" t="s">
        <v>16</v>
      </c>
      <c r="L344" s="3">
        <f t="shared" si="5"/>
        <v>175736.28</v>
      </c>
    </row>
    <row r="345" spans="1:12">
      <c r="A345" t="s">
        <v>371</v>
      </c>
      <c r="B345" t="s">
        <v>18</v>
      </c>
      <c r="C345" s="1">
        <v>44602</v>
      </c>
      <c r="D345" s="1">
        <v>44620</v>
      </c>
      <c r="E345" t="s">
        <v>40</v>
      </c>
      <c r="F345" t="s">
        <v>19</v>
      </c>
      <c r="G345">
        <v>522</v>
      </c>
      <c r="H345" s="3">
        <v>66.83</v>
      </c>
      <c r="I345">
        <v>58.01</v>
      </c>
      <c r="J345">
        <v>74</v>
      </c>
      <c r="K345" t="s">
        <v>16</v>
      </c>
      <c r="L345" s="3">
        <f t="shared" si="5"/>
        <v>30281.219999999998</v>
      </c>
    </row>
    <row r="346" spans="1:12">
      <c r="A346" t="s">
        <v>372</v>
      </c>
      <c r="B346" t="s">
        <v>18</v>
      </c>
      <c r="C346" s="1">
        <v>45196</v>
      </c>
      <c r="D346" s="1">
        <v>45205</v>
      </c>
      <c r="E346" t="s">
        <v>40</v>
      </c>
      <c r="F346" t="s">
        <v>19</v>
      </c>
      <c r="G346">
        <v>200</v>
      </c>
      <c r="H346" s="3">
        <v>44.16</v>
      </c>
      <c r="I346">
        <v>43.13</v>
      </c>
      <c r="J346">
        <v>21</v>
      </c>
      <c r="K346" t="s">
        <v>16</v>
      </c>
      <c r="L346" s="3">
        <f t="shared" si="5"/>
        <v>8626</v>
      </c>
    </row>
    <row r="347" spans="1:12">
      <c r="A347" t="s">
        <v>373</v>
      </c>
      <c r="B347" t="s">
        <v>21</v>
      </c>
      <c r="C347" s="1">
        <v>44645</v>
      </c>
      <c r="D347" s="1">
        <v>44654</v>
      </c>
      <c r="E347" t="s">
        <v>24</v>
      </c>
      <c r="F347" t="s">
        <v>19</v>
      </c>
      <c r="G347" s="2">
        <v>1488</v>
      </c>
      <c r="H347" s="3">
        <v>22.76</v>
      </c>
      <c r="I347">
        <v>21.99</v>
      </c>
      <c r="K347" t="s">
        <v>16</v>
      </c>
      <c r="L347" s="3">
        <f t="shared" si="5"/>
        <v>32721.119999999999</v>
      </c>
    </row>
    <row r="348" spans="1:12">
      <c r="A348" t="s">
        <v>374</v>
      </c>
      <c r="B348" t="s">
        <v>29</v>
      </c>
      <c r="C348" s="1">
        <v>44991</v>
      </c>
      <c r="D348" s="1">
        <v>45001</v>
      </c>
      <c r="E348" t="s">
        <v>40</v>
      </c>
      <c r="F348" t="s">
        <v>19</v>
      </c>
      <c r="G348" s="2">
        <v>1371</v>
      </c>
      <c r="H348" s="3">
        <v>87.16</v>
      </c>
      <c r="I348">
        <v>78.13</v>
      </c>
      <c r="J348">
        <v>43</v>
      </c>
      <c r="K348" t="s">
        <v>16</v>
      </c>
      <c r="L348" s="3">
        <f t="shared" si="5"/>
        <v>107116.23</v>
      </c>
    </row>
    <row r="349" spans="1:12">
      <c r="A349" t="s">
        <v>375</v>
      </c>
      <c r="B349" t="s">
        <v>13</v>
      </c>
      <c r="C349" s="1">
        <v>45235</v>
      </c>
      <c r="E349" t="s">
        <v>14</v>
      </c>
      <c r="F349" t="s">
        <v>19</v>
      </c>
      <c r="G349" s="2">
        <v>1684</v>
      </c>
      <c r="H349" s="3">
        <v>73.05</v>
      </c>
      <c r="I349">
        <v>62.53</v>
      </c>
      <c r="K349" t="s">
        <v>16</v>
      </c>
      <c r="L349" s="3">
        <f t="shared" si="5"/>
        <v>105300.52</v>
      </c>
    </row>
    <row r="350" spans="1:12">
      <c r="A350" t="s">
        <v>376</v>
      </c>
      <c r="B350" t="s">
        <v>29</v>
      </c>
      <c r="C350" s="1">
        <v>45159</v>
      </c>
      <c r="D350" s="1">
        <v>45165</v>
      </c>
      <c r="E350" t="s">
        <v>40</v>
      </c>
      <c r="F350" t="s">
        <v>19</v>
      </c>
      <c r="G350">
        <v>312</v>
      </c>
      <c r="H350" s="3">
        <v>63.52</v>
      </c>
      <c r="I350">
        <v>58.09</v>
      </c>
      <c r="K350" t="s">
        <v>16</v>
      </c>
      <c r="L350" s="3">
        <f t="shared" si="5"/>
        <v>18124.080000000002</v>
      </c>
    </row>
    <row r="351" spans="1:12">
      <c r="A351" t="s">
        <v>377</v>
      </c>
      <c r="B351" t="s">
        <v>13</v>
      </c>
      <c r="C351" s="1">
        <v>45140</v>
      </c>
      <c r="D351" s="1">
        <v>45159</v>
      </c>
      <c r="E351" t="s">
        <v>24</v>
      </c>
      <c r="F351" t="s">
        <v>15</v>
      </c>
      <c r="G351" s="2">
        <v>1837</v>
      </c>
      <c r="H351" s="3">
        <v>99.04</v>
      </c>
      <c r="I351">
        <v>86.51</v>
      </c>
      <c r="J351">
        <v>39</v>
      </c>
      <c r="K351" t="s">
        <v>16</v>
      </c>
      <c r="L351" s="3">
        <f t="shared" si="5"/>
        <v>158918.87</v>
      </c>
    </row>
    <row r="352" spans="1:12">
      <c r="A352" t="s">
        <v>378</v>
      </c>
      <c r="B352" t="s">
        <v>38</v>
      </c>
      <c r="C352" s="1">
        <v>45097</v>
      </c>
      <c r="D352" s="1">
        <v>45100</v>
      </c>
      <c r="E352" t="s">
        <v>22</v>
      </c>
      <c r="F352" t="s">
        <v>19</v>
      </c>
      <c r="G352">
        <v>193</v>
      </c>
      <c r="H352" s="3">
        <v>87.86</v>
      </c>
      <c r="I352">
        <v>81.739999999999995</v>
      </c>
      <c r="J352">
        <v>21</v>
      </c>
      <c r="K352" t="s">
        <v>16</v>
      </c>
      <c r="L352" s="3">
        <f t="shared" si="5"/>
        <v>15775.82</v>
      </c>
    </row>
    <row r="353" spans="1:12">
      <c r="A353" t="s">
        <v>379</v>
      </c>
      <c r="B353" t="s">
        <v>38</v>
      </c>
      <c r="C353" s="1">
        <v>44885</v>
      </c>
      <c r="D353" s="1">
        <v>44886</v>
      </c>
      <c r="E353" t="s">
        <v>40</v>
      </c>
      <c r="F353" t="s">
        <v>19</v>
      </c>
      <c r="G353">
        <v>395</v>
      </c>
      <c r="H353" s="3">
        <v>24.83</v>
      </c>
      <c r="I353">
        <v>23.96</v>
      </c>
      <c r="J353">
        <v>31</v>
      </c>
      <c r="K353" t="s">
        <v>16</v>
      </c>
      <c r="L353" s="3">
        <f t="shared" si="5"/>
        <v>9464.2000000000007</v>
      </c>
    </row>
    <row r="354" spans="1:12">
      <c r="A354" t="s">
        <v>380</v>
      </c>
      <c r="B354" t="s">
        <v>29</v>
      </c>
      <c r="C354" s="1">
        <v>44829</v>
      </c>
      <c r="D354" s="1">
        <v>44846</v>
      </c>
      <c r="E354" t="s">
        <v>40</v>
      </c>
      <c r="F354" t="s">
        <v>15</v>
      </c>
      <c r="G354">
        <v>673</v>
      </c>
      <c r="H354" s="3">
        <v>39.58</v>
      </c>
      <c r="I354">
        <v>35.83</v>
      </c>
      <c r="J354">
        <v>25</v>
      </c>
      <c r="K354" t="s">
        <v>16</v>
      </c>
      <c r="L354" s="3">
        <f t="shared" si="5"/>
        <v>24113.59</v>
      </c>
    </row>
    <row r="355" spans="1:12">
      <c r="A355" t="s">
        <v>381</v>
      </c>
      <c r="B355" t="s">
        <v>18</v>
      </c>
      <c r="C355" s="1">
        <v>44771</v>
      </c>
      <c r="D355" s="1">
        <v>44785</v>
      </c>
      <c r="E355" t="s">
        <v>14</v>
      </c>
      <c r="F355" t="s">
        <v>15</v>
      </c>
      <c r="G355" s="2">
        <v>1066</v>
      </c>
      <c r="H355" s="3">
        <v>33.33</v>
      </c>
      <c r="I355">
        <v>28.47</v>
      </c>
      <c r="J355">
        <v>162</v>
      </c>
      <c r="K355" t="s">
        <v>27</v>
      </c>
      <c r="L355" s="3">
        <f t="shared" si="5"/>
        <v>30349.02</v>
      </c>
    </row>
    <row r="356" spans="1:12">
      <c r="A356" t="s">
        <v>382</v>
      </c>
      <c r="B356" t="s">
        <v>21</v>
      </c>
      <c r="C356" s="1">
        <v>45247</v>
      </c>
      <c r="D356" s="1">
        <v>45253</v>
      </c>
      <c r="E356" t="s">
        <v>24</v>
      </c>
      <c r="F356" t="s">
        <v>19</v>
      </c>
      <c r="G356" s="2">
        <v>1645</v>
      </c>
      <c r="H356" s="3">
        <v>85.42</v>
      </c>
      <c r="I356">
        <v>80.78</v>
      </c>
      <c r="J356">
        <v>73</v>
      </c>
      <c r="K356" t="s">
        <v>27</v>
      </c>
      <c r="L356" s="3">
        <f t="shared" si="5"/>
        <v>132883.1</v>
      </c>
    </row>
    <row r="357" spans="1:12">
      <c r="A357" t="s">
        <v>383</v>
      </c>
      <c r="B357" t="s">
        <v>13</v>
      </c>
      <c r="C357" s="1">
        <v>44883</v>
      </c>
      <c r="D357" s="1">
        <v>44894</v>
      </c>
      <c r="E357" t="s">
        <v>40</v>
      </c>
      <c r="F357" t="s">
        <v>19</v>
      </c>
      <c r="G357">
        <v>930</v>
      </c>
      <c r="H357" s="3">
        <v>13.67</v>
      </c>
      <c r="I357">
        <v>11.95</v>
      </c>
      <c r="J357">
        <v>16</v>
      </c>
      <c r="K357" t="s">
        <v>16</v>
      </c>
      <c r="L357" s="3">
        <f t="shared" si="5"/>
        <v>11113.5</v>
      </c>
    </row>
    <row r="358" spans="1:12">
      <c r="A358" t="s">
        <v>384</v>
      </c>
      <c r="B358" t="s">
        <v>13</v>
      </c>
      <c r="C358" s="1">
        <v>44806</v>
      </c>
      <c r="D358" s="1">
        <v>44825</v>
      </c>
      <c r="E358" t="s">
        <v>14</v>
      </c>
      <c r="F358" t="s">
        <v>19</v>
      </c>
      <c r="G358">
        <v>51</v>
      </c>
      <c r="H358" s="3">
        <v>63.74</v>
      </c>
      <c r="I358">
        <v>56.1</v>
      </c>
      <c r="J358">
        <v>0</v>
      </c>
      <c r="K358" t="s">
        <v>16</v>
      </c>
      <c r="L358" s="3">
        <f t="shared" si="5"/>
        <v>2861.1</v>
      </c>
    </row>
    <row r="359" spans="1:12">
      <c r="A359" t="s">
        <v>385</v>
      </c>
      <c r="B359" t="s">
        <v>21</v>
      </c>
      <c r="C359" s="1">
        <v>44833</v>
      </c>
      <c r="D359" s="1">
        <v>44835</v>
      </c>
      <c r="E359" t="s">
        <v>24</v>
      </c>
      <c r="F359" t="s">
        <v>19</v>
      </c>
      <c r="G359">
        <v>946</v>
      </c>
      <c r="H359" s="3">
        <v>81.77</v>
      </c>
      <c r="I359">
        <v>71.650000000000006</v>
      </c>
      <c r="J359">
        <v>55</v>
      </c>
      <c r="K359" t="s">
        <v>16</v>
      </c>
      <c r="L359" s="3">
        <f t="shared" si="5"/>
        <v>67780.900000000009</v>
      </c>
    </row>
    <row r="360" spans="1:12">
      <c r="A360" t="s">
        <v>386</v>
      </c>
      <c r="B360" t="s">
        <v>29</v>
      </c>
      <c r="C360" s="1">
        <v>44967</v>
      </c>
      <c r="D360" s="1">
        <v>44987</v>
      </c>
      <c r="E360" t="s">
        <v>26</v>
      </c>
      <c r="F360" t="s">
        <v>33</v>
      </c>
      <c r="G360" s="2">
        <v>1377</v>
      </c>
      <c r="H360" s="3">
        <v>94.69</v>
      </c>
      <c r="I360">
        <v>84.2</v>
      </c>
      <c r="K360" t="s">
        <v>16</v>
      </c>
      <c r="L360" s="3">
        <f t="shared" si="5"/>
        <v>115943.40000000001</v>
      </c>
    </row>
    <row r="361" spans="1:12">
      <c r="A361" t="s">
        <v>387</v>
      </c>
      <c r="B361" t="s">
        <v>29</v>
      </c>
      <c r="C361" s="1">
        <v>44696</v>
      </c>
      <c r="D361" s="1">
        <v>44699</v>
      </c>
      <c r="E361" t="s">
        <v>24</v>
      </c>
      <c r="F361" t="s">
        <v>15</v>
      </c>
      <c r="G361">
        <v>303</v>
      </c>
      <c r="H361" s="3">
        <v>41.6</v>
      </c>
      <c r="I361">
        <v>40.51</v>
      </c>
      <c r="J361">
        <v>11</v>
      </c>
      <c r="K361" t="s">
        <v>16</v>
      </c>
      <c r="L361" s="3">
        <f t="shared" si="5"/>
        <v>12274.529999999999</v>
      </c>
    </row>
    <row r="362" spans="1:12">
      <c r="A362" t="s">
        <v>388</v>
      </c>
      <c r="B362" t="s">
        <v>13</v>
      </c>
      <c r="C362" s="1">
        <v>45249</v>
      </c>
      <c r="D362" s="1">
        <v>45263</v>
      </c>
      <c r="E362" t="s">
        <v>26</v>
      </c>
      <c r="F362" t="s">
        <v>19</v>
      </c>
      <c r="G362" s="2">
        <v>1725</v>
      </c>
      <c r="H362" s="3">
        <v>93.14</v>
      </c>
      <c r="I362">
        <v>79.62</v>
      </c>
      <c r="J362">
        <v>24</v>
      </c>
      <c r="K362" t="s">
        <v>16</v>
      </c>
      <c r="L362" s="3">
        <f t="shared" si="5"/>
        <v>137344.5</v>
      </c>
    </row>
    <row r="363" spans="1:12">
      <c r="A363" t="s">
        <v>389</v>
      </c>
      <c r="B363" t="s">
        <v>38</v>
      </c>
      <c r="C363" s="1">
        <v>45222</v>
      </c>
      <c r="D363" s="1">
        <v>45237</v>
      </c>
      <c r="E363" t="s">
        <v>26</v>
      </c>
      <c r="F363" t="s">
        <v>15</v>
      </c>
      <c r="G363">
        <v>502</v>
      </c>
      <c r="H363" s="3">
        <v>22.05</v>
      </c>
      <c r="I363">
        <v>20.65</v>
      </c>
      <c r="J363">
        <v>50</v>
      </c>
      <c r="K363" t="s">
        <v>27</v>
      </c>
      <c r="L363" s="3">
        <f t="shared" si="5"/>
        <v>10366.299999999999</v>
      </c>
    </row>
    <row r="364" spans="1:12">
      <c r="A364" t="s">
        <v>390</v>
      </c>
      <c r="B364" t="s">
        <v>21</v>
      </c>
      <c r="C364" s="1">
        <v>44869</v>
      </c>
      <c r="D364" s="1">
        <v>44876</v>
      </c>
      <c r="E364" t="s">
        <v>24</v>
      </c>
      <c r="F364" t="s">
        <v>19</v>
      </c>
      <c r="G364" s="2">
        <v>1110</v>
      </c>
      <c r="H364" s="3">
        <v>90.49</v>
      </c>
      <c r="I364">
        <v>80.03</v>
      </c>
      <c r="J364">
        <v>61</v>
      </c>
      <c r="K364" t="s">
        <v>16</v>
      </c>
      <c r="L364" s="3">
        <f t="shared" si="5"/>
        <v>88833.3</v>
      </c>
    </row>
    <row r="365" spans="1:12">
      <c r="A365" t="s">
        <v>391</v>
      </c>
      <c r="B365" t="s">
        <v>13</v>
      </c>
      <c r="C365" s="1">
        <v>45030</v>
      </c>
      <c r="D365" s="1">
        <v>45034</v>
      </c>
      <c r="E365" t="s">
        <v>24</v>
      </c>
      <c r="F365" t="s">
        <v>19</v>
      </c>
      <c r="G365" s="2">
        <v>1233</v>
      </c>
      <c r="H365" s="3">
        <v>23.08</v>
      </c>
      <c r="I365">
        <v>20.57</v>
      </c>
      <c r="K365" t="s">
        <v>16</v>
      </c>
      <c r="L365" s="3">
        <f t="shared" si="5"/>
        <v>25362.81</v>
      </c>
    </row>
    <row r="366" spans="1:12">
      <c r="A366" t="s">
        <v>392</v>
      </c>
      <c r="B366" t="s">
        <v>38</v>
      </c>
      <c r="C366" s="1">
        <v>44885</v>
      </c>
      <c r="D366" s="1">
        <v>44889</v>
      </c>
      <c r="E366" t="s">
        <v>14</v>
      </c>
      <c r="F366" t="s">
        <v>19</v>
      </c>
      <c r="G366" s="2">
        <v>1064</v>
      </c>
      <c r="H366" s="3">
        <v>48.04</v>
      </c>
      <c r="I366">
        <v>43.6</v>
      </c>
      <c r="J366">
        <v>94</v>
      </c>
      <c r="K366" t="s">
        <v>16</v>
      </c>
      <c r="L366" s="3">
        <f t="shared" si="5"/>
        <v>46390.400000000001</v>
      </c>
    </row>
    <row r="367" spans="1:12">
      <c r="A367" t="s">
        <v>393</v>
      </c>
      <c r="B367" t="s">
        <v>29</v>
      </c>
      <c r="C367" s="1">
        <v>44636</v>
      </c>
      <c r="D367" s="1">
        <v>44655</v>
      </c>
      <c r="E367" t="s">
        <v>24</v>
      </c>
      <c r="F367" t="s">
        <v>33</v>
      </c>
      <c r="G367">
        <v>58</v>
      </c>
      <c r="H367" s="3">
        <v>82.57</v>
      </c>
      <c r="I367">
        <v>76.55</v>
      </c>
      <c r="K367" t="s">
        <v>16</v>
      </c>
      <c r="L367" s="3">
        <f t="shared" si="5"/>
        <v>4439.8999999999996</v>
      </c>
    </row>
    <row r="368" spans="1:12">
      <c r="A368" t="s">
        <v>394</v>
      </c>
      <c r="B368" t="s">
        <v>38</v>
      </c>
      <c r="C368" s="1">
        <v>44571</v>
      </c>
      <c r="D368" s="1">
        <v>44581</v>
      </c>
      <c r="E368" t="s">
        <v>22</v>
      </c>
      <c r="F368" t="s">
        <v>19</v>
      </c>
      <c r="G368" s="2">
        <v>1306</v>
      </c>
      <c r="H368" s="3">
        <v>23.49</v>
      </c>
      <c r="I368">
        <v>20.170000000000002</v>
      </c>
      <c r="J368">
        <v>116</v>
      </c>
      <c r="K368" t="s">
        <v>27</v>
      </c>
      <c r="L368" s="3">
        <f t="shared" si="5"/>
        <v>26342.02</v>
      </c>
    </row>
    <row r="369" spans="1:12">
      <c r="A369" t="s">
        <v>395</v>
      </c>
      <c r="B369" t="s">
        <v>18</v>
      </c>
      <c r="C369" s="1">
        <v>45031</v>
      </c>
      <c r="D369" s="1">
        <v>45044</v>
      </c>
      <c r="E369" t="s">
        <v>40</v>
      </c>
      <c r="F369" t="s">
        <v>19</v>
      </c>
      <c r="G369" s="2">
        <v>1172</v>
      </c>
      <c r="H369" s="3">
        <v>32.93</v>
      </c>
      <c r="I369">
        <v>29.28</v>
      </c>
      <c r="K369" t="s">
        <v>27</v>
      </c>
      <c r="L369" s="3">
        <f t="shared" si="5"/>
        <v>34316.160000000003</v>
      </c>
    </row>
    <row r="370" spans="1:12">
      <c r="A370" t="s">
        <v>396</v>
      </c>
      <c r="B370" t="s">
        <v>13</v>
      </c>
      <c r="C370" s="1">
        <v>45198</v>
      </c>
      <c r="E370" t="s">
        <v>24</v>
      </c>
      <c r="F370" t="s">
        <v>19</v>
      </c>
      <c r="G370" s="2">
        <v>1732</v>
      </c>
      <c r="H370" s="3">
        <v>82.5</v>
      </c>
      <c r="I370">
        <v>71.709999999999994</v>
      </c>
      <c r="J370">
        <v>24</v>
      </c>
      <c r="K370" t="s">
        <v>16</v>
      </c>
      <c r="L370" s="3">
        <f t="shared" si="5"/>
        <v>124201.71999999999</v>
      </c>
    </row>
    <row r="371" spans="1:12">
      <c r="A371" t="s">
        <v>397</v>
      </c>
      <c r="B371" t="s">
        <v>21</v>
      </c>
      <c r="C371" s="1">
        <v>45138</v>
      </c>
      <c r="D371" s="1">
        <v>45145</v>
      </c>
      <c r="E371" t="s">
        <v>26</v>
      </c>
      <c r="F371" t="s">
        <v>19</v>
      </c>
      <c r="G371">
        <v>865</v>
      </c>
      <c r="H371" s="3">
        <v>81.540000000000006</v>
      </c>
      <c r="I371">
        <v>71.59</v>
      </c>
      <c r="J371">
        <v>39</v>
      </c>
      <c r="K371" t="s">
        <v>16</v>
      </c>
      <c r="L371" s="3">
        <f t="shared" si="5"/>
        <v>61925.350000000006</v>
      </c>
    </row>
    <row r="372" spans="1:12">
      <c r="A372" t="s">
        <v>398</v>
      </c>
      <c r="B372" t="s">
        <v>38</v>
      </c>
      <c r="C372" s="1">
        <v>44664</v>
      </c>
      <c r="D372" s="1">
        <v>44671</v>
      </c>
      <c r="E372" t="s">
        <v>26</v>
      </c>
      <c r="F372" t="s">
        <v>19</v>
      </c>
      <c r="G372">
        <v>257</v>
      </c>
      <c r="H372" s="3">
        <v>68.72</v>
      </c>
      <c r="I372">
        <v>66.92</v>
      </c>
      <c r="J372">
        <v>22</v>
      </c>
      <c r="K372" t="s">
        <v>16</v>
      </c>
      <c r="L372" s="3">
        <f t="shared" si="5"/>
        <v>17198.439999999999</v>
      </c>
    </row>
    <row r="373" spans="1:12">
      <c r="A373" t="s">
        <v>399</v>
      </c>
      <c r="B373" t="s">
        <v>29</v>
      </c>
      <c r="C373" s="1">
        <v>44637</v>
      </c>
      <c r="D373" s="1">
        <v>44646</v>
      </c>
      <c r="E373" t="s">
        <v>24</v>
      </c>
      <c r="F373" t="s">
        <v>19</v>
      </c>
      <c r="G373" s="2">
        <v>1204</v>
      </c>
      <c r="H373" s="3">
        <v>73.180000000000007</v>
      </c>
      <c r="I373">
        <v>67.59</v>
      </c>
      <c r="J373">
        <v>31</v>
      </c>
      <c r="K373" t="s">
        <v>16</v>
      </c>
      <c r="L373" s="3">
        <f t="shared" si="5"/>
        <v>81378.36</v>
      </c>
    </row>
    <row r="374" spans="1:12">
      <c r="A374" t="s">
        <v>400</v>
      </c>
      <c r="B374" t="s">
        <v>38</v>
      </c>
      <c r="C374" s="1">
        <v>45112</v>
      </c>
      <c r="D374" s="1">
        <v>45116</v>
      </c>
      <c r="E374" t="s">
        <v>40</v>
      </c>
      <c r="F374" t="s">
        <v>33</v>
      </c>
      <c r="G374">
        <v>453</v>
      </c>
      <c r="H374" s="3">
        <v>64.14</v>
      </c>
      <c r="I374">
        <v>60.18</v>
      </c>
      <c r="J374">
        <v>51</v>
      </c>
      <c r="K374" t="s">
        <v>16</v>
      </c>
      <c r="L374" s="3">
        <f t="shared" si="5"/>
        <v>27261.54</v>
      </c>
    </row>
    <row r="375" spans="1:12">
      <c r="A375" t="s">
        <v>401</v>
      </c>
      <c r="B375" t="s">
        <v>29</v>
      </c>
      <c r="C375" s="1">
        <v>44780</v>
      </c>
      <c r="D375" s="1">
        <v>44794</v>
      </c>
      <c r="E375" t="s">
        <v>40</v>
      </c>
      <c r="F375" t="s">
        <v>19</v>
      </c>
      <c r="G375">
        <v>201</v>
      </c>
      <c r="H375" s="3">
        <v>33.81</v>
      </c>
      <c r="I375">
        <v>32.54</v>
      </c>
      <c r="J375">
        <v>3</v>
      </c>
      <c r="K375" t="s">
        <v>16</v>
      </c>
      <c r="L375" s="3">
        <f t="shared" si="5"/>
        <v>6540.54</v>
      </c>
    </row>
    <row r="376" spans="1:12">
      <c r="A376" t="s">
        <v>402</v>
      </c>
      <c r="B376" t="s">
        <v>18</v>
      </c>
      <c r="C376" s="1">
        <v>45080</v>
      </c>
      <c r="D376" s="1">
        <v>45093</v>
      </c>
      <c r="E376" t="s">
        <v>14</v>
      </c>
      <c r="F376" t="s">
        <v>19</v>
      </c>
      <c r="G376">
        <v>103</v>
      </c>
      <c r="H376" s="3">
        <v>44.61</v>
      </c>
      <c r="I376">
        <v>42.88</v>
      </c>
      <c r="J376">
        <v>10</v>
      </c>
      <c r="K376" t="s">
        <v>16</v>
      </c>
      <c r="L376" s="3">
        <f t="shared" si="5"/>
        <v>4416.6400000000003</v>
      </c>
    </row>
    <row r="377" spans="1:12">
      <c r="A377" t="s">
        <v>403</v>
      </c>
      <c r="B377" t="s">
        <v>29</v>
      </c>
      <c r="C377" s="1">
        <v>44833</v>
      </c>
      <c r="D377" s="1">
        <v>44841</v>
      </c>
      <c r="E377" t="s">
        <v>14</v>
      </c>
      <c r="F377" t="s">
        <v>19</v>
      </c>
      <c r="G377" s="2">
        <v>1193</v>
      </c>
      <c r="H377" s="3">
        <v>27.4</v>
      </c>
      <c r="I377">
        <v>27.09</v>
      </c>
      <c r="K377" t="s">
        <v>16</v>
      </c>
      <c r="L377" s="3">
        <f t="shared" si="5"/>
        <v>32318.37</v>
      </c>
    </row>
    <row r="378" spans="1:12">
      <c r="A378" t="s">
        <v>404</v>
      </c>
      <c r="B378" t="s">
        <v>21</v>
      </c>
      <c r="C378" s="1">
        <v>44697</v>
      </c>
      <c r="D378" s="1">
        <v>44709</v>
      </c>
      <c r="E378" t="s">
        <v>14</v>
      </c>
      <c r="F378" t="s">
        <v>33</v>
      </c>
      <c r="G378" s="2">
        <v>1746</v>
      </c>
      <c r="H378" s="3">
        <v>93.6</v>
      </c>
      <c r="I378">
        <v>89.81</v>
      </c>
      <c r="J378">
        <v>85</v>
      </c>
      <c r="K378" t="s">
        <v>16</v>
      </c>
      <c r="L378" s="3">
        <f t="shared" si="5"/>
        <v>156808.26</v>
      </c>
    </row>
    <row r="379" spans="1:12">
      <c r="A379" t="s">
        <v>405</v>
      </c>
      <c r="B379" t="s">
        <v>18</v>
      </c>
      <c r="C379" s="1">
        <v>44919</v>
      </c>
      <c r="D379" s="1">
        <v>44921</v>
      </c>
      <c r="E379" t="s">
        <v>40</v>
      </c>
      <c r="F379" t="s">
        <v>19</v>
      </c>
      <c r="G379" s="2">
        <v>1993</v>
      </c>
      <c r="H379" s="3">
        <v>65.94</v>
      </c>
      <c r="I379">
        <v>59.36</v>
      </c>
      <c r="K379" t="s">
        <v>16</v>
      </c>
      <c r="L379" s="3">
        <f t="shared" si="5"/>
        <v>118304.48</v>
      </c>
    </row>
    <row r="380" spans="1:12">
      <c r="A380" t="s">
        <v>406</v>
      </c>
      <c r="B380" t="s">
        <v>38</v>
      </c>
      <c r="C380" s="1">
        <v>44632</v>
      </c>
      <c r="D380" s="1">
        <v>44647</v>
      </c>
      <c r="E380" t="s">
        <v>26</v>
      </c>
      <c r="F380" t="s">
        <v>19</v>
      </c>
      <c r="G380">
        <v>677</v>
      </c>
      <c r="H380" s="3">
        <v>46.54</v>
      </c>
      <c r="I380">
        <v>43.11</v>
      </c>
      <c r="K380" t="s">
        <v>27</v>
      </c>
      <c r="L380" s="3">
        <f t="shared" si="5"/>
        <v>29185.47</v>
      </c>
    </row>
    <row r="381" spans="1:12">
      <c r="A381" t="s">
        <v>407</v>
      </c>
      <c r="B381" t="s">
        <v>13</v>
      </c>
      <c r="C381" s="1">
        <v>44812</v>
      </c>
      <c r="E381" t="s">
        <v>14</v>
      </c>
      <c r="F381" t="s">
        <v>35</v>
      </c>
      <c r="G381">
        <v>636</v>
      </c>
      <c r="H381" s="3">
        <v>53.64</v>
      </c>
      <c r="I381">
        <v>49.23</v>
      </c>
      <c r="J381">
        <v>18</v>
      </c>
      <c r="K381" t="s">
        <v>16</v>
      </c>
      <c r="L381" s="3">
        <f t="shared" si="5"/>
        <v>31310.28</v>
      </c>
    </row>
    <row r="382" spans="1:12">
      <c r="A382" t="s">
        <v>408</v>
      </c>
      <c r="B382" t="s">
        <v>29</v>
      </c>
      <c r="C382" s="1">
        <v>44940</v>
      </c>
      <c r="D382" s="1">
        <v>44959</v>
      </c>
      <c r="E382" t="s">
        <v>24</v>
      </c>
      <c r="F382" t="s">
        <v>19</v>
      </c>
      <c r="G382" s="2">
        <v>1698</v>
      </c>
      <c r="H382" s="3">
        <v>100.97</v>
      </c>
      <c r="I382">
        <v>98.73</v>
      </c>
      <c r="J382">
        <v>52</v>
      </c>
      <c r="K382" t="s">
        <v>16</v>
      </c>
      <c r="L382" s="3">
        <f t="shared" si="5"/>
        <v>167643.54</v>
      </c>
    </row>
    <row r="383" spans="1:12">
      <c r="A383" t="s">
        <v>409</v>
      </c>
      <c r="B383" t="s">
        <v>21</v>
      </c>
      <c r="C383" s="1">
        <v>44853</v>
      </c>
      <c r="D383" s="1">
        <v>44866</v>
      </c>
      <c r="E383" t="s">
        <v>14</v>
      </c>
      <c r="F383" t="s">
        <v>19</v>
      </c>
      <c r="G383" s="2">
        <v>1493</v>
      </c>
      <c r="H383" s="3">
        <v>24.87</v>
      </c>
      <c r="I383">
        <v>22.89</v>
      </c>
      <c r="J383">
        <v>56</v>
      </c>
      <c r="K383" t="s">
        <v>16</v>
      </c>
      <c r="L383" s="3">
        <f t="shared" si="5"/>
        <v>34174.770000000004</v>
      </c>
    </row>
    <row r="384" spans="1:12">
      <c r="A384" t="s">
        <v>410</v>
      </c>
      <c r="B384" t="s">
        <v>13</v>
      </c>
      <c r="C384" s="1">
        <v>44723</v>
      </c>
      <c r="D384" s="1">
        <v>44737</v>
      </c>
      <c r="E384" t="s">
        <v>24</v>
      </c>
      <c r="F384" t="s">
        <v>19</v>
      </c>
      <c r="G384" s="2">
        <v>1495</v>
      </c>
      <c r="H384" s="3">
        <v>64.33</v>
      </c>
      <c r="I384">
        <v>58.18</v>
      </c>
      <c r="J384">
        <v>26</v>
      </c>
      <c r="K384" t="s">
        <v>16</v>
      </c>
      <c r="L384" s="3">
        <f t="shared" si="5"/>
        <v>86979.1</v>
      </c>
    </row>
    <row r="385" spans="1:12">
      <c r="A385" t="s">
        <v>411</v>
      </c>
      <c r="B385" t="s">
        <v>13</v>
      </c>
      <c r="C385" s="1">
        <v>45010</v>
      </c>
      <c r="D385" s="1">
        <v>45023</v>
      </c>
      <c r="E385" t="s">
        <v>24</v>
      </c>
      <c r="F385" t="s">
        <v>15</v>
      </c>
      <c r="G385">
        <v>153</v>
      </c>
      <c r="H385" s="3">
        <v>59.42</v>
      </c>
      <c r="I385">
        <v>52</v>
      </c>
      <c r="J385">
        <v>3</v>
      </c>
      <c r="K385" t="s">
        <v>16</v>
      </c>
      <c r="L385" s="3">
        <f t="shared" si="5"/>
        <v>7956</v>
      </c>
    </row>
    <row r="386" spans="1:12">
      <c r="A386" t="s">
        <v>412</v>
      </c>
      <c r="B386" t="s">
        <v>18</v>
      </c>
      <c r="C386" s="1">
        <v>45118</v>
      </c>
      <c r="D386" s="1">
        <v>45129</v>
      </c>
      <c r="E386" t="s">
        <v>26</v>
      </c>
      <c r="F386" t="s">
        <v>15</v>
      </c>
      <c r="G386" s="2">
        <v>1925</v>
      </c>
      <c r="H386" s="3">
        <v>70.88</v>
      </c>
      <c r="I386">
        <v>63.41</v>
      </c>
      <c r="J386">
        <v>292</v>
      </c>
      <c r="K386" t="s">
        <v>16</v>
      </c>
      <c r="L386" s="3">
        <f t="shared" si="5"/>
        <v>122064.25</v>
      </c>
    </row>
    <row r="387" spans="1:12">
      <c r="A387" t="s">
        <v>413</v>
      </c>
      <c r="B387" t="s">
        <v>38</v>
      </c>
      <c r="C387" s="1">
        <v>45282</v>
      </c>
      <c r="D387" s="1">
        <v>45302</v>
      </c>
      <c r="E387" t="s">
        <v>24</v>
      </c>
      <c r="F387" t="s">
        <v>19</v>
      </c>
      <c r="G387">
        <v>303</v>
      </c>
      <c r="H387" s="3">
        <v>12.97</v>
      </c>
      <c r="I387">
        <v>11.42</v>
      </c>
      <c r="K387" t="s">
        <v>27</v>
      </c>
      <c r="L387" s="3">
        <f t="shared" ref="L387:L450" si="6">I387*G387</f>
        <v>3460.2599999999998</v>
      </c>
    </row>
    <row r="388" spans="1:12">
      <c r="A388" t="s">
        <v>414</v>
      </c>
      <c r="B388" t="s">
        <v>13</v>
      </c>
      <c r="C388" s="1">
        <v>44871</v>
      </c>
      <c r="D388" s="1">
        <v>44883</v>
      </c>
      <c r="E388" t="s">
        <v>14</v>
      </c>
      <c r="F388" t="s">
        <v>19</v>
      </c>
      <c r="G388" s="2">
        <v>1300</v>
      </c>
      <c r="H388" s="3">
        <v>92.92</v>
      </c>
      <c r="I388">
        <v>90.63</v>
      </c>
      <c r="K388" t="s">
        <v>16</v>
      </c>
      <c r="L388" s="3">
        <f t="shared" si="6"/>
        <v>117819</v>
      </c>
    </row>
    <row r="389" spans="1:12">
      <c r="A389" t="s">
        <v>415</v>
      </c>
      <c r="B389" t="s">
        <v>21</v>
      </c>
      <c r="C389" s="1">
        <v>45188</v>
      </c>
      <c r="D389" s="1">
        <v>45192</v>
      </c>
      <c r="E389" t="s">
        <v>26</v>
      </c>
      <c r="F389" t="s">
        <v>19</v>
      </c>
      <c r="G389" s="2">
        <v>1185</v>
      </c>
      <c r="H389" s="3">
        <v>103.28</v>
      </c>
      <c r="I389">
        <v>99.05</v>
      </c>
      <c r="K389" t="s">
        <v>16</v>
      </c>
      <c r="L389" s="3">
        <f t="shared" si="6"/>
        <v>117374.25</v>
      </c>
    </row>
    <row r="390" spans="1:12">
      <c r="A390" t="s">
        <v>416</v>
      </c>
      <c r="B390" t="s">
        <v>29</v>
      </c>
      <c r="C390" s="1">
        <v>45231</v>
      </c>
      <c r="D390" s="1">
        <v>45250</v>
      </c>
      <c r="E390" t="s">
        <v>26</v>
      </c>
      <c r="F390" t="s">
        <v>19</v>
      </c>
      <c r="G390">
        <v>559</v>
      </c>
      <c r="H390" s="3">
        <v>67.56</v>
      </c>
      <c r="I390">
        <v>57.98</v>
      </c>
      <c r="J390">
        <v>15</v>
      </c>
      <c r="K390" t="s">
        <v>16</v>
      </c>
      <c r="L390" s="3">
        <f t="shared" si="6"/>
        <v>32410.82</v>
      </c>
    </row>
    <row r="391" spans="1:12">
      <c r="A391" t="s">
        <v>417</v>
      </c>
      <c r="B391" t="s">
        <v>29</v>
      </c>
      <c r="C391" s="1">
        <v>45103</v>
      </c>
      <c r="D391" s="1">
        <v>45106</v>
      </c>
      <c r="E391" t="s">
        <v>40</v>
      </c>
      <c r="F391" t="s">
        <v>35</v>
      </c>
      <c r="G391" s="2">
        <v>1546</v>
      </c>
      <c r="H391" s="3">
        <v>78.88</v>
      </c>
      <c r="I391">
        <v>78</v>
      </c>
      <c r="J391">
        <v>38</v>
      </c>
      <c r="K391" t="s">
        <v>16</v>
      </c>
      <c r="L391" s="3">
        <f t="shared" si="6"/>
        <v>120588</v>
      </c>
    </row>
    <row r="392" spans="1:12">
      <c r="A392" t="s">
        <v>418</v>
      </c>
      <c r="B392" t="s">
        <v>29</v>
      </c>
      <c r="C392" s="1">
        <v>44570</v>
      </c>
      <c r="D392" s="1">
        <v>44580</v>
      </c>
      <c r="E392" t="s">
        <v>24</v>
      </c>
      <c r="F392" t="s">
        <v>19</v>
      </c>
      <c r="G392">
        <v>148</v>
      </c>
      <c r="H392" s="3">
        <v>93.02</v>
      </c>
      <c r="I392">
        <v>85.96</v>
      </c>
      <c r="J392">
        <v>4</v>
      </c>
      <c r="K392" t="s">
        <v>16</v>
      </c>
      <c r="L392" s="3">
        <f t="shared" si="6"/>
        <v>12722.08</v>
      </c>
    </row>
    <row r="393" spans="1:12">
      <c r="A393" t="s">
        <v>419</v>
      </c>
      <c r="B393" t="s">
        <v>18</v>
      </c>
      <c r="C393" s="1">
        <v>45245</v>
      </c>
      <c r="D393" s="1">
        <v>45253</v>
      </c>
      <c r="E393" t="s">
        <v>14</v>
      </c>
      <c r="F393" t="s">
        <v>19</v>
      </c>
      <c r="G393">
        <v>202</v>
      </c>
      <c r="H393" s="3">
        <v>81.75</v>
      </c>
      <c r="I393">
        <v>78.260000000000005</v>
      </c>
      <c r="J393">
        <v>37</v>
      </c>
      <c r="K393" t="s">
        <v>27</v>
      </c>
      <c r="L393" s="3">
        <f t="shared" si="6"/>
        <v>15808.52</v>
      </c>
    </row>
    <row r="394" spans="1:12">
      <c r="A394" t="s">
        <v>420</v>
      </c>
      <c r="B394" t="s">
        <v>21</v>
      </c>
      <c r="C394" s="1">
        <v>45129</v>
      </c>
      <c r="D394" s="1">
        <v>45135</v>
      </c>
      <c r="E394" t="s">
        <v>24</v>
      </c>
      <c r="F394" t="s">
        <v>19</v>
      </c>
      <c r="G394" s="2">
        <v>1934</v>
      </c>
      <c r="H394" s="3">
        <v>25.86</v>
      </c>
      <c r="I394">
        <v>25.6</v>
      </c>
      <c r="J394">
        <v>78</v>
      </c>
      <c r="K394" t="s">
        <v>16</v>
      </c>
      <c r="L394" s="3">
        <f t="shared" si="6"/>
        <v>49510.400000000001</v>
      </c>
    </row>
    <row r="395" spans="1:12">
      <c r="A395" t="s">
        <v>421</v>
      </c>
      <c r="B395" t="s">
        <v>13</v>
      </c>
      <c r="C395" s="1">
        <v>44868</v>
      </c>
      <c r="D395" s="1">
        <v>44872</v>
      </c>
      <c r="E395" t="s">
        <v>14</v>
      </c>
      <c r="F395" t="s">
        <v>19</v>
      </c>
      <c r="G395">
        <v>963</v>
      </c>
      <c r="H395" s="3">
        <v>64.959999999999994</v>
      </c>
      <c r="I395">
        <v>64.069999999999993</v>
      </c>
      <c r="J395">
        <v>20</v>
      </c>
      <c r="K395" t="s">
        <v>16</v>
      </c>
      <c r="L395" s="3">
        <f t="shared" si="6"/>
        <v>61699.409999999996</v>
      </c>
    </row>
    <row r="396" spans="1:12">
      <c r="A396" t="s">
        <v>422</v>
      </c>
      <c r="B396" t="s">
        <v>21</v>
      </c>
      <c r="C396" s="1">
        <v>45241</v>
      </c>
      <c r="D396" s="1">
        <v>45248</v>
      </c>
      <c r="E396" t="s">
        <v>22</v>
      </c>
      <c r="F396" t="s">
        <v>19</v>
      </c>
      <c r="G396" s="2">
        <v>1969</v>
      </c>
      <c r="H396" s="3">
        <v>71.709999999999994</v>
      </c>
      <c r="I396">
        <v>61.96</v>
      </c>
      <c r="K396" t="s">
        <v>16</v>
      </c>
      <c r="L396" s="3">
        <f t="shared" si="6"/>
        <v>121999.24</v>
      </c>
    </row>
    <row r="397" spans="1:12">
      <c r="A397" t="s">
        <v>423</v>
      </c>
      <c r="B397" t="s">
        <v>18</v>
      </c>
      <c r="C397" s="1">
        <v>44668</v>
      </c>
      <c r="E397" t="s">
        <v>40</v>
      </c>
      <c r="F397" t="s">
        <v>19</v>
      </c>
      <c r="G397">
        <v>927</v>
      </c>
      <c r="H397" s="3">
        <v>48.89</v>
      </c>
      <c r="I397">
        <v>46.05</v>
      </c>
      <c r="J397">
        <v>138</v>
      </c>
      <c r="K397" t="s">
        <v>16</v>
      </c>
      <c r="L397" s="3">
        <f t="shared" si="6"/>
        <v>42688.35</v>
      </c>
    </row>
    <row r="398" spans="1:12">
      <c r="A398" t="s">
        <v>424</v>
      </c>
      <c r="B398" t="s">
        <v>18</v>
      </c>
      <c r="C398" s="1">
        <v>44699</v>
      </c>
      <c r="D398" s="1">
        <v>44704</v>
      </c>
      <c r="E398" t="s">
        <v>26</v>
      </c>
      <c r="F398" t="s">
        <v>15</v>
      </c>
      <c r="G398">
        <v>387</v>
      </c>
      <c r="H398" s="3">
        <v>77.81</v>
      </c>
      <c r="I398">
        <v>69.040000000000006</v>
      </c>
      <c r="J398">
        <v>67</v>
      </c>
      <c r="K398" t="s">
        <v>16</v>
      </c>
      <c r="L398" s="3">
        <f t="shared" si="6"/>
        <v>26718.480000000003</v>
      </c>
    </row>
    <row r="399" spans="1:12">
      <c r="A399" t="s">
        <v>425</v>
      </c>
      <c r="B399" t="s">
        <v>38</v>
      </c>
      <c r="C399" s="1">
        <v>44832</v>
      </c>
      <c r="D399" s="1">
        <v>44837</v>
      </c>
      <c r="E399" t="s">
        <v>40</v>
      </c>
      <c r="F399" t="s">
        <v>19</v>
      </c>
      <c r="G399" s="2">
        <v>1779</v>
      </c>
      <c r="H399" s="3">
        <v>97.86</v>
      </c>
      <c r="I399">
        <v>94.36</v>
      </c>
      <c r="J399">
        <v>176</v>
      </c>
      <c r="K399" t="s">
        <v>16</v>
      </c>
      <c r="L399" s="3">
        <f t="shared" si="6"/>
        <v>167866.44</v>
      </c>
    </row>
    <row r="400" spans="1:12">
      <c r="A400" t="s">
        <v>426</v>
      </c>
      <c r="B400" t="s">
        <v>21</v>
      </c>
      <c r="C400" s="1">
        <v>44680</v>
      </c>
      <c r="D400" s="1">
        <v>44686</v>
      </c>
      <c r="E400" t="s">
        <v>22</v>
      </c>
      <c r="F400" t="s">
        <v>35</v>
      </c>
      <c r="G400">
        <v>871</v>
      </c>
      <c r="H400" s="3">
        <v>94.7</v>
      </c>
      <c r="I400">
        <v>92.66</v>
      </c>
      <c r="J400">
        <v>46</v>
      </c>
      <c r="K400" t="s">
        <v>16</v>
      </c>
      <c r="L400" s="3">
        <f t="shared" si="6"/>
        <v>80706.86</v>
      </c>
    </row>
    <row r="401" spans="1:12">
      <c r="A401" t="s">
        <v>427</v>
      </c>
      <c r="B401" t="s">
        <v>29</v>
      </c>
      <c r="C401" s="1">
        <v>44671</v>
      </c>
      <c r="D401" s="1">
        <v>44674</v>
      </c>
      <c r="E401" t="s">
        <v>40</v>
      </c>
      <c r="F401" t="s">
        <v>19</v>
      </c>
      <c r="G401" s="2">
        <v>1236</v>
      </c>
      <c r="H401" s="3">
        <v>51.33</v>
      </c>
      <c r="I401">
        <v>44.03</v>
      </c>
      <c r="J401">
        <v>25</v>
      </c>
      <c r="K401" t="s">
        <v>16</v>
      </c>
      <c r="L401" s="3">
        <f t="shared" si="6"/>
        <v>54421.08</v>
      </c>
    </row>
    <row r="402" spans="1:12">
      <c r="A402" t="s">
        <v>428</v>
      </c>
      <c r="B402" t="s">
        <v>18</v>
      </c>
      <c r="C402" s="1">
        <v>45128</v>
      </c>
      <c r="D402" s="1">
        <v>45144</v>
      </c>
      <c r="E402" t="s">
        <v>40</v>
      </c>
      <c r="F402" t="s">
        <v>19</v>
      </c>
      <c r="G402" s="2">
        <v>1793</v>
      </c>
      <c r="H402" s="3">
        <v>22.01</v>
      </c>
      <c r="I402">
        <v>21.78</v>
      </c>
      <c r="J402">
        <v>285</v>
      </c>
      <c r="K402" t="s">
        <v>16</v>
      </c>
      <c r="L402" s="3">
        <f t="shared" si="6"/>
        <v>39051.54</v>
      </c>
    </row>
    <row r="403" spans="1:12">
      <c r="A403" t="s">
        <v>429</v>
      </c>
      <c r="B403" t="s">
        <v>18</v>
      </c>
      <c r="C403" s="1">
        <v>44721</v>
      </c>
      <c r="D403" s="1">
        <v>44740</v>
      </c>
      <c r="E403" t="s">
        <v>22</v>
      </c>
      <c r="F403" t="s">
        <v>19</v>
      </c>
      <c r="G403" s="2">
        <v>1006</v>
      </c>
      <c r="H403" s="3">
        <v>101.1</v>
      </c>
      <c r="I403">
        <v>89.04</v>
      </c>
      <c r="J403">
        <v>139</v>
      </c>
      <c r="K403" t="s">
        <v>16</v>
      </c>
      <c r="L403" s="3">
        <f t="shared" si="6"/>
        <v>89574.24</v>
      </c>
    </row>
    <row r="404" spans="1:12">
      <c r="A404" t="s">
        <v>430</v>
      </c>
      <c r="B404" t="s">
        <v>38</v>
      </c>
      <c r="C404" s="1">
        <v>44840</v>
      </c>
      <c r="D404" s="1">
        <v>44855</v>
      </c>
      <c r="E404" t="s">
        <v>40</v>
      </c>
      <c r="F404" t="s">
        <v>15</v>
      </c>
      <c r="G404" s="2">
        <v>1754</v>
      </c>
      <c r="H404" s="3">
        <v>89.35</v>
      </c>
      <c r="I404">
        <v>86.54</v>
      </c>
      <c r="J404">
        <v>161</v>
      </c>
      <c r="K404" t="s">
        <v>27</v>
      </c>
      <c r="L404" s="3">
        <f t="shared" si="6"/>
        <v>151791.16</v>
      </c>
    </row>
    <row r="405" spans="1:12">
      <c r="A405" t="s">
        <v>431</v>
      </c>
      <c r="B405" t="s">
        <v>29</v>
      </c>
      <c r="C405" s="1">
        <v>44850</v>
      </c>
      <c r="D405" s="1">
        <v>44869</v>
      </c>
      <c r="E405" t="s">
        <v>40</v>
      </c>
      <c r="F405" t="s">
        <v>19</v>
      </c>
      <c r="G405">
        <v>210</v>
      </c>
      <c r="H405" s="3">
        <v>22.17</v>
      </c>
      <c r="I405">
        <v>21.32</v>
      </c>
      <c r="J405">
        <v>10</v>
      </c>
      <c r="K405" t="s">
        <v>16</v>
      </c>
      <c r="L405" s="3">
        <f t="shared" si="6"/>
        <v>4477.2</v>
      </c>
    </row>
    <row r="406" spans="1:12">
      <c r="A406" t="s">
        <v>432</v>
      </c>
      <c r="B406" t="s">
        <v>18</v>
      </c>
      <c r="C406" s="1">
        <v>45181</v>
      </c>
      <c r="D406" s="1">
        <v>45201</v>
      </c>
      <c r="E406" t="s">
        <v>22</v>
      </c>
      <c r="F406" t="s">
        <v>19</v>
      </c>
      <c r="G406" s="2">
        <v>1653</v>
      </c>
      <c r="H406" s="3">
        <v>102.16</v>
      </c>
      <c r="I406">
        <v>91.91</v>
      </c>
      <c r="J406">
        <v>217</v>
      </c>
      <c r="K406" t="s">
        <v>16</v>
      </c>
      <c r="L406" s="3">
        <f t="shared" si="6"/>
        <v>151927.22999999998</v>
      </c>
    </row>
    <row r="407" spans="1:12">
      <c r="A407" t="s">
        <v>433</v>
      </c>
      <c r="B407" t="s">
        <v>13</v>
      </c>
      <c r="C407" s="1">
        <v>44777</v>
      </c>
      <c r="D407" s="1">
        <v>44788</v>
      </c>
      <c r="E407" t="s">
        <v>22</v>
      </c>
      <c r="F407" t="s">
        <v>33</v>
      </c>
      <c r="G407">
        <v>850</v>
      </c>
      <c r="H407" s="3">
        <v>91.38</v>
      </c>
      <c r="I407">
        <v>88.41</v>
      </c>
      <c r="J407">
        <v>24</v>
      </c>
      <c r="K407" t="s">
        <v>16</v>
      </c>
      <c r="L407" s="3">
        <f t="shared" si="6"/>
        <v>75148.5</v>
      </c>
    </row>
    <row r="408" spans="1:12">
      <c r="A408" t="s">
        <v>434</v>
      </c>
      <c r="B408" t="s">
        <v>29</v>
      </c>
      <c r="C408" s="1">
        <v>44913</v>
      </c>
      <c r="D408" s="1">
        <v>44916</v>
      </c>
      <c r="E408" t="s">
        <v>26</v>
      </c>
      <c r="F408" t="s">
        <v>19</v>
      </c>
      <c r="G408">
        <v>447</v>
      </c>
      <c r="H408" s="3">
        <v>59.81</v>
      </c>
      <c r="I408">
        <v>57.92</v>
      </c>
      <c r="J408">
        <v>13</v>
      </c>
      <c r="K408" t="s">
        <v>16</v>
      </c>
      <c r="L408" s="3">
        <f t="shared" si="6"/>
        <v>25890.240000000002</v>
      </c>
    </row>
    <row r="409" spans="1:12">
      <c r="A409" t="s">
        <v>435</v>
      </c>
      <c r="B409" t="s">
        <v>21</v>
      </c>
      <c r="C409" s="1">
        <v>44770</v>
      </c>
      <c r="D409" s="1">
        <v>44780</v>
      </c>
      <c r="E409" t="s">
        <v>14</v>
      </c>
      <c r="F409" t="s">
        <v>19</v>
      </c>
      <c r="G409" s="2">
        <v>1350</v>
      </c>
      <c r="H409" s="3">
        <v>65.11</v>
      </c>
      <c r="I409">
        <v>56.95</v>
      </c>
      <c r="J409">
        <v>71</v>
      </c>
      <c r="K409" t="s">
        <v>16</v>
      </c>
      <c r="L409" s="3">
        <f t="shared" si="6"/>
        <v>76882.5</v>
      </c>
    </row>
    <row r="410" spans="1:12">
      <c r="A410" t="s">
        <v>436</v>
      </c>
      <c r="B410" t="s">
        <v>38</v>
      </c>
      <c r="C410" s="1">
        <v>45265</v>
      </c>
      <c r="D410" s="1">
        <v>45284</v>
      </c>
      <c r="E410" t="s">
        <v>14</v>
      </c>
      <c r="F410" t="s">
        <v>19</v>
      </c>
      <c r="G410">
        <v>865</v>
      </c>
      <c r="H410" s="3">
        <v>51.19</v>
      </c>
      <c r="I410">
        <v>47.76</v>
      </c>
      <c r="J410">
        <v>83</v>
      </c>
      <c r="K410" t="s">
        <v>16</v>
      </c>
      <c r="L410" s="3">
        <f t="shared" si="6"/>
        <v>41312.400000000001</v>
      </c>
    </row>
    <row r="411" spans="1:12">
      <c r="A411" t="s">
        <v>437</v>
      </c>
      <c r="B411" t="s">
        <v>13</v>
      </c>
      <c r="C411" s="1">
        <v>45211</v>
      </c>
      <c r="D411" s="1">
        <v>45228</v>
      </c>
      <c r="E411" t="s">
        <v>22</v>
      </c>
      <c r="F411" t="s">
        <v>19</v>
      </c>
      <c r="G411" s="2">
        <v>1989</v>
      </c>
      <c r="H411" s="3">
        <v>16.5</v>
      </c>
      <c r="I411">
        <v>15.89</v>
      </c>
      <c r="J411">
        <v>57</v>
      </c>
      <c r="K411" t="s">
        <v>16</v>
      </c>
      <c r="L411" s="3">
        <f t="shared" si="6"/>
        <v>31605.210000000003</v>
      </c>
    </row>
    <row r="412" spans="1:12">
      <c r="A412" t="s">
        <v>438</v>
      </c>
      <c r="B412" t="s">
        <v>13</v>
      </c>
      <c r="C412" s="1">
        <v>44832</v>
      </c>
      <c r="D412" s="1">
        <v>44847</v>
      </c>
      <c r="E412" t="s">
        <v>14</v>
      </c>
      <c r="F412" t="s">
        <v>19</v>
      </c>
      <c r="G412" s="2">
        <v>1577</v>
      </c>
      <c r="H412" s="3">
        <v>41.77</v>
      </c>
      <c r="I412">
        <v>39.58</v>
      </c>
      <c r="J412">
        <v>32</v>
      </c>
      <c r="K412" t="s">
        <v>16</v>
      </c>
      <c r="L412" s="3">
        <f t="shared" si="6"/>
        <v>62417.659999999996</v>
      </c>
    </row>
    <row r="413" spans="1:12">
      <c r="A413" t="s">
        <v>439</v>
      </c>
      <c r="B413" t="s">
        <v>21</v>
      </c>
      <c r="C413" s="1">
        <v>45079</v>
      </c>
      <c r="D413" s="1">
        <v>45081</v>
      </c>
      <c r="E413" t="s">
        <v>24</v>
      </c>
      <c r="F413" t="s">
        <v>35</v>
      </c>
      <c r="G413" s="2">
        <v>1969</v>
      </c>
      <c r="H413" s="3">
        <v>89.25</v>
      </c>
      <c r="I413">
        <v>87.28</v>
      </c>
      <c r="J413">
        <v>108</v>
      </c>
      <c r="K413" t="s">
        <v>27</v>
      </c>
      <c r="L413" s="3">
        <f>I413*G413</f>
        <v>171854.32</v>
      </c>
    </row>
    <row r="414" spans="1:12">
      <c r="A414" t="s">
        <v>440</v>
      </c>
      <c r="B414" t="s">
        <v>38</v>
      </c>
      <c r="C414" s="1">
        <v>45062</v>
      </c>
      <c r="D414" s="1">
        <v>45072</v>
      </c>
      <c r="E414" t="s">
        <v>24</v>
      </c>
      <c r="F414" t="s">
        <v>33</v>
      </c>
      <c r="G414" s="2">
        <v>1465</v>
      </c>
      <c r="H414" s="3">
        <v>11.25</v>
      </c>
      <c r="I414">
        <v>9.61</v>
      </c>
      <c r="J414">
        <v>151</v>
      </c>
      <c r="K414" t="s">
        <v>16</v>
      </c>
      <c r="L414" s="3">
        <f t="shared" si="6"/>
        <v>14078.65</v>
      </c>
    </row>
    <row r="415" spans="1:12">
      <c r="A415" t="s">
        <v>441</v>
      </c>
      <c r="B415" t="s">
        <v>18</v>
      </c>
      <c r="C415" s="1">
        <v>44819</v>
      </c>
      <c r="D415" s="1">
        <v>44822</v>
      </c>
      <c r="E415" t="s">
        <v>24</v>
      </c>
      <c r="F415" t="s">
        <v>35</v>
      </c>
      <c r="G415" s="2">
        <v>1208</v>
      </c>
      <c r="H415" s="3">
        <v>41.62</v>
      </c>
      <c r="I415">
        <v>39.46</v>
      </c>
      <c r="K415" t="s">
        <v>16</v>
      </c>
      <c r="L415" s="3">
        <f t="shared" si="6"/>
        <v>47667.68</v>
      </c>
    </row>
    <row r="416" spans="1:12">
      <c r="A416" t="s">
        <v>442</v>
      </c>
      <c r="B416" t="s">
        <v>38</v>
      </c>
      <c r="C416" s="1">
        <v>44614</v>
      </c>
      <c r="D416" s="1">
        <v>44631</v>
      </c>
      <c r="E416" t="s">
        <v>26</v>
      </c>
      <c r="F416" t="s">
        <v>19</v>
      </c>
      <c r="G416" s="2">
        <v>1268</v>
      </c>
      <c r="H416" s="3">
        <v>46.06</v>
      </c>
      <c r="I416">
        <v>45.26</v>
      </c>
      <c r="J416">
        <v>123</v>
      </c>
      <c r="K416" t="s">
        <v>16</v>
      </c>
      <c r="L416" s="3">
        <f t="shared" si="6"/>
        <v>57389.68</v>
      </c>
    </row>
    <row r="417" spans="1:12">
      <c r="A417" t="s">
        <v>443</v>
      </c>
      <c r="B417" t="s">
        <v>18</v>
      </c>
      <c r="C417" s="1">
        <v>44656</v>
      </c>
      <c r="D417" s="1">
        <v>44675</v>
      </c>
      <c r="E417" t="s">
        <v>14</v>
      </c>
      <c r="F417" t="s">
        <v>19</v>
      </c>
      <c r="G417">
        <v>450</v>
      </c>
      <c r="H417" s="3">
        <v>59.24</v>
      </c>
      <c r="I417">
        <v>55.03</v>
      </c>
      <c r="J417">
        <v>68</v>
      </c>
      <c r="K417" t="s">
        <v>27</v>
      </c>
      <c r="L417" s="3">
        <f t="shared" si="6"/>
        <v>24763.5</v>
      </c>
    </row>
    <row r="418" spans="1:12">
      <c r="A418" t="s">
        <v>444</v>
      </c>
      <c r="B418" t="s">
        <v>21</v>
      </c>
      <c r="C418" s="1">
        <v>45211</v>
      </c>
      <c r="D418" s="1">
        <v>45213</v>
      </c>
      <c r="E418" t="s">
        <v>40</v>
      </c>
      <c r="F418" t="s">
        <v>33</v>
      </c>
      <c r="G418">
        <v>689</v>
      </c>
      <c r="H418" s="3">
        <v>102.53</v>
      </c>
      <c r="I418">
        <v>95.23</v>
      </c>
      <c r="J418">
        <v>38</v>
      </c>
      <c r="K418" t="s">
        <v>16</v>
      </c>
      <c r="L418" s="3">
        <f t="shared" si="6"/>
        <v>65613.47</v>
      </c>
    </row>
    <row r="419" spans="1:12">
      <c r="A419" t="s">
        <v>445</v>
      </c>
      <c r="B419" t="s">
        <v>21</v>
      </c>
      <c r="C419" s="1">
        <v>44995</v>
      </c>
      <c r="D419" s="1">
        <v>45014</v>
      </c>
      <c r="E419" t="s">
        <v>22</v>
      </c>
      <c r="F419" t="s">
        <v>19</v>
      </c>
      <c r="G419" s="2">
        <v>1106</v>
      </c>
      <c r="H419" s="3">
        <v>44.05</v>
      </c>
      <c r="I419">
        <v>38.6</v>
      </c>
      <c r="J419">
        <v>51</v>
      </c>
      <c r="K419" t="s">
        <v>16</v>
      </c>
      <c r="L419" s="3">
        <f t="shared" si="6"/>
        <v>42691.6</v>
      </c>
    </row>
    <row r="420" spans="1:12">
      <c r="A420" t="s">
        <v>446</v>
      </c>
      <c r="B420" t="s">
        <v>13</v>
      </c>
      <c r="C420" s="1">
        <v>44845</v>
      </c>
      <c r="D420" s="1">
        <v>44856</v>
      </c>
      <c r="E420" t="s">
        <v>14</v>
      </c>
      <c r="F420" t="s">
        <v>19</v>
      </c>
      <c r="G420">
        <v>737</v>
      </c>
      <c r="H420" s="3">
        <v>43.08</v>
      </c>
      <c r="I420">
        <v>42.58</v>
      </c>
      <c r="J420">
        <v>21</v>
      </c>
      <c r="K420" t="s">
        <v>16</v>
      </c>
      <c r="L420" s="3">
        <f t="shared" si="6"/>
        <v>31381.46</v>
      </c>
    </row>
    <row r="421" spans="1:12">
      <c r="A421" t="s">
        <v>447</v>
      </c>
      <c r="B421" t="s">
        <v>13</v>
      </c>
      <c r="C421" s="1">
        <v>44607</v>
      </c>
      <c r="D421" s="1">
        <v>44624</v>
      </c>
      <c r="E421" t="s">
        <v>26</v>
      </c>
      <c r="F421" t="s">
        <v>19</v>
      </c>
      <c r="G421">
        <v>509</v>
      </c>
      <c r="H421" s="3">
        <v>76.760000000000005</v>
      </c>
      <c r="I421">
        <v>74.72</v>
      </c>
      <c r="J421">
        <v>7</v>
      </c>
      <c r="K421" t="s">
        <v>27</v>
      </c>
      <c r="L421" s="3">
        <f t="shared" si="6"/>
        <v>38032.479999999996</v>
      </c>
    </row>
    <row r="422" spans="1:12">
      <c r="A422" t="s">
        <v>448</v>
      </c>
      <c r="B422" t="s">
        <v>13</v>
      </c>
      <c r="C422" s="1">
        <v>44565</v>
      </c>
      <c r="D422" s="1">
        <v>44567</v>
      </c>
      <c r="E422" t="s">
        <v>40</v>
      </c>
      <c r="F422" t="s">
        <v>19</v>
      </c>
      <c r="G422" s="2">
        <v>1004</v>
      </c>
      <c r="H422" s="3">
        <v>50.7</v>
      </c>
      <c r="I422">
        <v>46.59</v>
      </c>
      <c r="J422">
        <v>27</v>
      </c>
      <c r="K422" t="s">
        <v>16</v>
      </c>
      <c r="L422" s="3">
        <f t="shared" si="6"/>
        <v>46776.36</v>
      </c>
    </row>
    <row r="423" spans="1:12">
      <c r="A423" t="s">
        <v>449</v>
      </c>
      <c r="B423" t="s">
        <v>21</v>
      </c>
      <c r="C423" s="1">
        <v>44903</v>
      </c>
      <c r="D423" s="1">
        <v>44914</v>
      </c>
      <c r="E423" t="s">
        <v>22</v>
      </c>
      <c r="F423" t="s">
        <v>35</v>
      </c>
      <c r="G423" s="2">
        <v>1956</v>
      </c>
      <c r="H423" s="3">
        <v>31.88</v>
      </c>
      <c r="I423">
        <v>28.48</v>
      </c>
      <c r="J423">
        <v>86</v>
      </c>
      <c r="K423" t="s">
        <v>16</v>
      </c>
      <c r="L423" s="3">
        <f t="shared" si="6"/>
        <v>55706.879999999997</v>
      </c>
    </row>
    <row r="424" spans="1:12">
      <c r="A424" t="s">
        <v>450</v>
      </c>
      <c r="B424" t="s">
        <v>18</v>
      </c>
      <c r="C424" s="1">
        <v>44695</v>
      </c>
      <c r="E424" t="s">
        <v>40</v>
      </c>
      <c r="F424" t="s">
        <v>19</v>
      </c>
      <c r="G424">
        <v>519</v>
      </c>
      <c r="H424" s="3">
        <v>51.73</v>
      </c>
      <c r="I424">
        <v>47.52</v>
      </c>
      <c r="J424">
        <v>81</v>
      </c>
      <c r="K424" t="s">
        <v>27</v>
      </c>
      <c r="L424" s="3">
        <f t="shared" si="6"/>
        <v>24662.880000000001</v>
      </c>
    </row>
    <row r="425" spans="1:12">
      <c r="A425" t="s">
        <v>451</v>
      </c>
      <c r="B425" t="s">
        <v>21</v>
      </c>
      <c r="C425" s="1">
        <v>45214</v>
      </c>
      <c r="D425" s="1">
        <v>45220</v>
      </c>
      <c r="E425" t="s">
        <v>22</v>
      </c>
      <c r="F425" t="s">
        <v>33</v>
      </c>
      <c r="G425" s="2">
        <v>1448</v>
      </c>
      <c r="H425" s="3">
        <v>25.06</v>
      </c>
      <c r="I425">
        <v>21.62</v>
      </c>
      <c r="J425">
        <v>84</v>
      </c>
      <c r="K425" t="s">
        <v>16</v>
      </c>
      <c r="L425" s="3">
        <f t="shared" si="6"/>
        <v>31305.760000000002</v>
      </c>
    </row>
    <row r="426" spans="1:12">
      <c r="A426" t="s">
        <v>452</v>
      </c>
      <c r="B426" t="s">
        <v>21</v>
      </c>
      <c r="C426" s="1">
        <v>44830</v>
      </c>
      <c r="D426" s="1">
        <v>44845</v>
      </c>
      <c r="E426" t="s">
        <v>24</v>
      </c>
      <c r="F426" t="s">
        <v>19</v>
      </c>
      <c r="G426" s="2">
        <v>1095</v>
      </c>
      <c r="H426" s="3">
        <v>26.91</v>
      </c>
      <c r="I426">
        <v>23.75</v>
      </c>
      <c r="J426">
        <v>53</v>
      </c>
      <c r="K426" t="s">
        <v>16</v>
      </c>
      <c r="L426" s="3">
        <f t="shared" si="6"/>
        <v>26006.25</v>
      </c>
    </row>
    <row r="427" spans="1:12">
      <c r="A427" t="s">
        <v>453</v>
      </c>
      <c r="B427" t="s">
        <v>13</v>
      </c>
      <c r="C427" s="1">
        <v>44727</v>
      </c>
      <c r="E427" t="s">
        <v>22</v>
      </c>
      <c r="F427" t="s">
        <v>19</v>
      </c>
      <c r="G427">
        <v>799</v>
      </c>
      <c r="H427" s="3">
        <v>56.22</v>
      </c>
      <c r="I427">
        <v>49.51</v>
      </c>
      <c r="J427">
        <v>18</v>
      </c>
      <c r="K427" t="s">
        <v>16</v>
      </c>
      <c r="L427" s="3">
        <f t="shared" si="6"/>
        <v>39558.49</v>
      </c>
    </row>
    <row r="428" spans="1:12">
      <c r="A428" t="s">
        <v>454</v>
      </c>
      <c r="B428" t="s">
        <v>38</v>
      </c>
      <c r="C428" s="1">
        <v>45014</v>
      </c>
      <c r="D428" s="1">
        <v>45034</v>
      </c>
      <c r="E428" t="s">
        <v>22</v>
      </c>
      <c r="F428" t="s">
        <v>33</v>
      </c>
      <c r="G428" s="2">
        <v>1743</v>
      </c>
      <c r="H428" s="3">
        <v>51.04</v>
      </c>
      <c r="I428">
        <v>47.15</v>
      </c>
      <c r="J428">
        <v>160</v>
      </c>
      <c r="K428" t="s">
        <v>16</v>
      </c>
      <c r="L428" s="3">
        <f t="shared" si="6"/>
        <v>82182.45</v>
      </c>
    </row>
    <row r="429" spans="1:12">
      <c r="A429" t="s">
        <v>455</v>
      </c>
      <c r="B429" t="s">
        <v>13</v>
      </c>
      <c r="C429" s="1">
        <v>45126</v>
      </c>
      <c r="D429" s="1">
        <v>45138</v>
      </c>
      <c r="E429" t="s">
        <v>26</v>
      </c>
      <c r="F429" t="s">
        <v>19</v>
      </c>
      <c r="G429">
        <v>87</v>
      </c>
      <c r="H429" s="3">
        <v>100.65</v>
      </c>
      <c r="I429">
        <v>85.56</v>
      </c>
      <c r="J429">
        <v>1</v>
      </c>
      <c r="K429" t="s">
        <v>16</v>
      </c>
      <c r="L429" s="3">
        <f t="shared" si="6"/>
        <v>7443.72</v>
      </c>
    </row>
    <row r="430" spans="1:12">
      <c r="A430" t="s">
        <v>456</v>
      </c>
      <c r="B430" t="s">
        <v>38</v>
      </c>
      <c r="C430" s="1">
        <v>45284</v>
      </c>
      <c r="E430" t="s">
        <v>26</v>
      </c>
      <c r="F430" t="s">
        <v>19</v>
      </c>
      <c r="G430">
        <v>279</v>
      </c>
      <c r="H430" s="3">
        <v>47.52</v>
      </c>
      <c r="I430">
        <v>46.5</v>
      </c>
      <c r="J430">
        <v>28</v>
      </c>
      <c r="K430" t="s">
        <v>27</v>
      </c>
      <c r="L430" s="3">
        <f t="shared" si="6"/>
        <v>12973.5</v>
      </c>
    </row>
    <row r="431" spans="1:12">
      <c r="A431" t="s">
        <v>457</v>
      </c>
      <c r="B431" t="s">
        <v>18</v>
      </c>
      <c r="C431" s="1">
        <v>44999</v>
      </c>
      <c r="D431" s="1">
        <v>45010</v>
      </c>
      <c r="E431" t="s">
        <v>26</v>
      </c>
      <c r="F431" t="s">
        <v>19</v>
      </c>
      <c r="G431" s="2">
        <v>1438</v>
      </c>
      <c r="H431" s="3">
        <v>66.61</v>
      </c>
      <c r="I431">
        <v>58.5</v>
      </c>
      <c r="J431">
        <v>237</v>
      </c>
      <c r="K431" t="s">
        <v>16</v>
      </c>
      <c r="L431" s="3">
        <f t="shared" si="6"/>
        <v>84123</v>
      </c>
    </row>
    <row r="432" spans="1:12">
      <c r="A432" t="s">
        <v>458</v>
      </c>
      <c r="B432" t="s">
        <v>18</v>
      </c>
      <c r="C432" s="1">
        <v>45136</v>
      </c>
      <c r="D432" s="1">
        <v>45138</v>
      </c>
      <c r="E432" t="s">
        <v>14</v>
      </c>
      <c r="F432" t="s">
        <v>33</v>
      </c>
      <c r="G432">
        <v>612</v>
      </c>
      <c r="H432" s="3">
        <v>72.930000000000007</v>
      </c>
      <c r="I432">
        <v>63.32</v>
      </c>
      <c r="J432">
        <v>99</v>
      </c>
      <c r="K432" t="s">
        <v>16</v>
      </c>
      <c r="L432" s="3">
        <f t="shared" si="6"/>
        <v>38751.840000000004</v>
      </c>
    </row>
    <row r="433" spans="1:12">
      <c r="A433" t="s">
        <v>459</v>
      </c>
      <c r="B433" t="s">
        <v>29</v>
      </c>
      <c r="C433" s="1">
        <v>44571</v>
      </c>
      <c r="D433" s="1">
        <v>44582</v>
      </c>
      <c r="E433" t="s">
        <v>24</v>
      </c>
      <c r="F433" t="s">
        <v>35</v>
      </c>
      <c r="G433">
        <v>487</v>
      </c>
      <c r="H433" s="3">
        <v>11.18</v>
      </c>
      <c r="I433">
        <v>10.63</v>
      </c>
      <c r="J433">
        <v>15</v>
      </c>
      <c r="K433" t="s">
        <v>16</v>
      </c>
      <c r="L433" s="3">
        <f t="shared" si="6"/>
        <v>5176.8100000000004</v>
      </c>
    </row>
    <row r="434" spans="1:12">
      <c r="A434" t="s">
        <v>460</v>
      </c>
      <c r="B434" t="s">
        <v>29</v>
      </c>
      <c r="C434" s="1">
        <v>44676</v>
      </c>
      <c r="D434" s="1">
        <v>44680</v>
      </c>
      <c r="E434" t="s">
        <v>24</v>
      </c>
      <c r="F434" t="s">
        <v>33</v>
      </c>
      <c r="G434" s="2">
        <v>1849</v>
      </c>
      <c r="H434" s="3">
        <v>70.760000000000005</v>
      </c>
      <c r="I434">
        <v>69.25</v>
      </c>
      <c r="J434">
        <v>51</v>
      </c>
      <c r="K434" t="s">
        <v>16</v>
      </c>
      <c r="L434" s="3">
        <f t="shared" si="6"/>
        <v>128043.25</v>
      </c>
    </row>
    <row r="435" spans="1:12">
      <c r="A435" t="s">
        <v>461</v>
      </c>
      <c r="B435" t="s">
        <v>29</v>
      </c>
      <c r="C435" s="1">
        <v>44639</v>
      </c>
      <c r="D435" s="1">
        <v>44652</v>
      </c>
      <c r="E435" t="s">
        <v>22</v>
      </c>
      <c r="F435" t="s">
        <v>33</v>
      </c>
      <c r="G435" s="2">
        <v>1356</v>
      </c>
      <c r="H435" s="3">
        <v>26.28</v>
      </c>
      <c r="I435">
        <v>25.44</v>
      </c>
      <c r="J435">
        <v>47</v>
      </c>
      <c r="K435" t="s">
        <v>16</v>
      </c>
      <c r="L435" s="3">
        <f t="shared" si="6"/>
        <v>34496.639999999999</v>
      </c>
    </row>
    <row r="436" spans="1:12">
      <c r="A436" t="s">
        <v>462</v>
      </c>
      <c r="B436" t="s">
        <v>18</v>
      </c>
      <c r="C436" s="1">
        <v>45269</v>
      </c>
      <c r="D436" s="1">
        <v>45289</v>
      </c>
      <c r="E436" t="s">
        <v>26</v>
      </c>
      <c r="F436" t="s">
        <v>19</v>
      </c>
      <c r="G436">
        <v>76</v>
      </c>
      <c r="H436" s="3">
        <v>107.59</v>
      </c>
      <c r="I436">
        <v>96.33</v>
      </c>
      <c r="J436">
        <v>10</v>
      </c>
      <c r="K436" t="s">
        <v>16</v>
      </c>
      <c r="L436" s="3">
        <f t="shared" si="6"/>
        <v>7321.08</v>
      </c>
    </row>
    <row r="437" spans="1:12">
      <c r="A437" t="s">
        <v>463</v>
      </c>
      <c r="B437" t="s">
        <v>13</v>
      </c>
      <c r="C437" s="1">
        <v>44714</v>
      </c>
      <c r="D437" s="1">
        <v>44725</v>
      </c>
      <c r="E437" t="s">
        <v>24</v>
      </c>
      <c r="F437" t="s">
        <v>33</v>
      </c>
      <c r="G437">
        <v>275</v>
      </c>
      <c r="H437" s="3">
        <v>23.96</v>
      </c>
      <c r="I437">
        <v>20.440000000000001</v>
      </c>
      <c r="K437" t="s">
        <v>16</v>
      </c>
      <c r="L437" s="3">
        <f t="shared" si="6"/>
        <v>5621</v>
      </c>
    </row>
    <row r="438" spans="1:12">
      <c r="A438" t="s">
        <v>464</v>
      </c>
      <c r="B438" t="s">
        <v>13</v>
      </c>
      <c r="C438" s="1">
        <v>45120</v>
      </c>
      <c r="D438" s="1">
        <v>45125</v>
      </c>
      <c r="E438" t="s">
        <v>24</v>
      </c>
      <c r="F438" t="s">
        <v>19</v>
      </c>
      <c r="G438" s="2">
        <v>1350</v>
      </c>
      <c r="H438" s="3">
        <v>51.57</v>
      </c>
      <c r="I438">
        <v>48.07</v>
      </c>
      <c r="K438" t="s">
        <v>16</v>
      </c>
      <c r="L438" s="3">
        <f t="shared" si="6"/>
        <v>64894.5</v>
      </c>
    </row>
    <row r="439" spans="1:12">
      <c r="A439" t="s">
        <v>465</v>
      </c>
      <c r="B439" t="s">
        <v>13</v>
      </c>
      <c r="C439" s="1">
        <v>44598</v>
      </c>
      <c r="E439" t="s">
        <v>22</v>
      </c>
      <c r="F439" t="s">
        <v>19</v>
      </c>
      <c r="G439">
        <v>847</v>
      </c>
      <c r="H439" s="3">
        <v>17.77</v>
      </c>
      <c r="I439">
        <v>17.39</v>
      </c>
      <c r="K439" t="s">
        <v>16</v>
      </c>
      <c r="L439" s="3">
        <f t="shared" si="6"/>
        <v>14729.33</v>
      </c>
    </row>
    <row r="440" spans="1:12">
      <c r="A440" t="s">
        <v>466</v>
      </c>
      <c r="B440" t="s">
        <v>21</v>
      </c>
      <c r="C440" s="1">
        <v>44940</v>
      </c>
      <c r="D440" s="1">
        <v>44953</v>
      </c>
      <c r="E440" t="s">
        <v>22</v>
      </c>
      <c r="F440" t="s">
        <v>19</v>
      </c>
      <c r="G440" s="2">
        <v>1682</v>
      </c>
      <c r="H440" s="3">
        <v>105.7</v>
      </c>
      <c r="I440">
        <v>101.3</v>
      </c>
      <c r="J440">
        <v>94</v>
      </c>
      <c r="K440" t="s">
        <v>16</v>
      </c>
      <c r="L440" s="3">
        <f t="shared" si="6"/>
        <v>170386.6</v>
      </c>
    </row>
    <row r="441" spans="1:12">
      <c r="A441" t="s">
        <v>467</v>
      </c>
      <c r="B441" t="s">
        <v>29</v>
      </c>
      <c r="C441" s="1">
        <v>45158</v>
      </c>
      <c r="D441" s="1">
        <v>45161</v>
      </c>
      <c r="E441" t="s">
        <v>40</v>
      </c>
      <c r="F441" t="s">
        <v>19</v>
      </c>
      <c r="G441">
        <v>333</v>
      </c>
      <c r="H441" s="3">
        <v>60.44</v>
      </c>
      <c r="I441">
        <v>58.54</v>
      </c>
      <c r="J441">
        <v>8</v>
      </c>
      <c r="K441" t="s">
        <v>16</v>
      </c>
      <c r="L441" s="3">
        <f t="shared" si="6"/>
        <v>19493.82</v>
      </c>
    </row>
    <row r="442" spans="1:12">
      <c r="A442" t="s">
        <v>468</v>
      </c>
      <c r="B442" t="s">
        <v>13</v>
      </c>
      <c r="C442" s="1">
        <v>45127</v>
      </c>
      <c r="D442" s="1">
        <v>45140</v>
      </c>
      <c r="E442" t="s">
        <v>40</v>
      </c>
      <c r="F442" t="s">
        <v>15</v>
      </c>
      <c r="G442">
        <v>928</v>
      </c>
      <c r="H442" s="3">
        <v>69.31</v>
      </c>
      <c r="I442">
        <v>67.260000000000005</v>
      </c>
      <c r="J442">
        <v>20</v>
      </c>
      <c r="K442" t="s">
        <v>16</v>
      </c>
      <c r="L442" s="3">
        <f t="shared" si="6"/>
        <v>62417.280000000006</v>
      </c>
    </row>
    <row r="443" spans="1:12">
      <c r="A443" t="s">
        <v>469</v>
      </c>
      <c r="B443" t="s">
        <v>29</v>
      </c>
      <c r="C443" s="1">
        <v>44713</v>
      </c>
      <c r="D443" s="1">
        <v>44724</v>
      </c>
      <c r="E443" t="s">
        <v>22</v>
      </c>
      <c r="F443" t="s">
        <v>33</v>
      </c>
      <c r="G443" s="2">
        <v>1009</v>
      </c>
      <c r="H443" s="3">
        <v>16.440000000000001</v>
      </c>
      <c r="I443">
        <v>16.18</v>
      </c>
      <c r="K443" t="s">
        <v>16</v>
      </c>
      <c r="L443" s="3">
        <f t="shared" si="6"/>
        <v>16325.619999999999</v>
      </c>
    </row>
    <row r="444" spans="1:12">
      <c r="A444" t="s">
        <v>470</v>
      </c>
      <c r="B444" t="s">
        <v>29</v>
      </c>
      <c r="C444" s="1">
        <v>45002</v>
      </c>
      <c r="D444" s="1">
        <v>45019</v>
      </c>
      <c r="E444" t="s">
        <v>40</v>
      </c>
      <c r="F444" t="s">
        <v>35</v>
      </c>
      <c r="G444" s="2">
        <v>1554</v>
      </c>
      <c r="H444" s="3">
        <v>82.92</v>
      </c>
      <c r="I444">
        <v>74.819999999999993</v>
      </c>
      <c r="J444">
        <v>44</v>
      </c>
      <c r="K444" t="s">
        <v>16</v>
      </c>
      <c r="L444" s="3">
        <f t="shared" si="6"/>
        <v>116270.27999999998</v>
      </c>
    </row>
    <row r="445" spans="1:12">
      <c r="A445" t="s">
        <v>471</v>
      </c>
      <c r="B445" t="s">
        <v>21</v>
      </c>
      <c r="C445" s="1">
        <v>44692</v>
      </c>
      <c r="D445" s="1">
        <v>44706</v>
      </c>
      <c r="E445" t="s">
        <v>24</v>
      </c>
      <c r="F445" t="s">
        <v>33</v>
      </c>
      <c r="G445">
        <v>502</v>
      </c>
      <c r="H445" s="3">
        <v>29.47</v>
      </c>
      <c r="I445">
        <v>28.94</v>
      </c>
      <c r="J445">
        <v>27</v>
      </c>
      <c r="K445" t="s">
        <v>16</v>
      </c>
      <c r="L445" s="3">
        <f t="shared" si="6"/>
        <v>14527.880000000001</v>
      </c>
    </row>
    <row r="446" spans="1:12">
      <c r="A446" t="s">
        <v>472</v>
      </c>
      <c r="B446" t="s">
        <v>18</v>
      </c>
      <c r="C446" s="1">
        <v>44604</v>
      </c>
      <c r="D446" s="1">
        <v>44605</v>
      </c>
      <c r="E446" t="s">
        <v>22</v>
      </c>
      <c r="F446" t="s">
        <v>19</v>
      </c>
      <c r="G446" s="2">
        <v>1069</v>
      </c>
      <c r="H446" s="3">
        <v>91.28</v>
      </c>
      <c r="I446">
        <v>82.64</v>
      </c>
      <c r="K446" t="s">
        <v>16</v>
      </c>
      <c r="L446" s="3">
        <f t="shared" si="6"/>
        <v>88342.16</v>
      </c>
    </row>
    <row r="447" spans="1:12">
      <c r="A447" t="s">
        <v>473</v>
      </c>
      <c r="B447" t="s">
        <v>13</v>
      </c>
      <c r="C447" s="1">
        <v>44877</v>
      </c>
      <c r="D447" s="1">
        <v>44883</v>
      </c>
      <c r="E447" t="s">
        <v>22</v>
      </c>
      <c r="F447" t="s">
        <v>35</v>
      </c>
      <c r="G447" s="2">
        <v>1902</v>
      </c>
      <c r="H447" s="3">
        <v>29.89</v>
      </c>
      <c r="I447">
        <v>25.83</v>
      </c>
      <c r="J447">
        <v>41</v>
      </c>
      <c r="K447" t="s">
        <v>16</v>
      </c>
      <c r="L447" s="3">
        <f t="shared" si="6"/>
        <v>49128.659999999996</v>
      </c>
    </row>
    <row r="448" spans="1:12">
      <c r="A448" t="s">
        <v>474</v>
      </c>
      <c r="B448" t="s">
        <v>21</v>
      </c>
      <c r="C448" s="1">
        <v>44935</v>
      </c>
      <c r="E448" t="s">
        <v>26</v>
      </c>
      <c r="F448" t="s">
        <v>35</v>
      </c>
      <c r="G448">
        <v>865</v>
      </c>
      <c r="H448" s="3">
        <v>28.79</v>
      </c>
      <c r="I448">
        <v>25.69</v>
      </c>
      <c r="J448">
        <v>47</v>
      </c>
      <c r="K448" t="s">
        <v>16</v>
      </c>
      <c r="L448" s="3">
        <f t="shared" si="6"/>
        <v>22221.850000000002</v>
      </c>
    </row>
    <row r="449" spans="1:12">
      <c r="A449" t="s">
        <v>475</v>
      </c>
      <c r="B449" t="s">
        <v>18</v>
      </c>
      <c r="C449" s="1">
        <v>44602</v>
      </c>
      <c r="D449" s="1">
        <v>44618</v>
      </c>
      <c r="E449" t="s">
        <v>24</v>
      </c>
      <c r="F449" t="s">
        <v>33</v>
      </c>
      <c r="G449">
        <v>708</v>
      </c>
      <c r="H449" s="3">
        <v>13.36</v>
      </c>
      <c r="I449">
        <v>11.61</v>
      </c>
      <c r="K449" t="s">
        <v>27</v>
      </c>
      <c r="L449" s="3">
        <f t="shared" si="6"/>
        <v>8219.8799999999992</v>
      </c>
    </row>
    <row r="450" spans="1:12">
      <c r="A450" t="s">
        <v>476</v>
      </c>
      <c r="B450" t="s">
        <v>18</v>
      </c>
      <c r="C450" s="1">
        <v>44928</v>
      </c>
      <c r="D450" s="1">
        <v>44933</v>
      </c>
      <c r="E450" t="s">
        <v>24</v>
      </c>
      <c r="F450" t="s">
        <v>19</v>
      </c>
      <c r="G450" s="2">
        <v>1589</v>
      </c>
      <c r="H450" s="3">
        <v>55.64</v>
      </c>
      <c r="I450">
        <v>48.52</v>
      </c>
      <c r="K450" t="s">
        <v>16</v>
      </c>
      <c r="L450" s="3">
        <f t="shared" si="6"/>
        <v>77098.28</v>
      </c>
    </row>
    <row r="451" spans="1:12">
      <c r="A451" t="s">
        <v>477</v>
      </c>
      <c r="B451" t="s">
        <v>13</v>
      </c>
      <c r="C451" s="1">
        <v>44777</v>
      </c>
      <c r="D451" s="1">
        <v>44787</v>
      </c>
      <c r="E451" t="s">
        <v>14</v>
      </c>
      <c r="F451" t="s">
        <v>19</v>
      </c>
      <c r="G451">
        <v>596</v>
      </c>
      <c r="H451" s="3">
        <v>62.96</v>
      </c>
      <c r="I451">
        <v>61.88</v>
      </c>
      <c r="J451">
        <v>9</v>
      </c>
      <c r="K451" t="s">
        <v>16</v>
      </c>
      <c r="L451" s="3">
        <f t="shared" ref="L451:L514" si="7">I451*G451</f>
        <v>36880.480000000003</v>
      </c>
    </row>
    <row r="452" spans="1:12">
      <c r="A452" t="s">
        <v>478</v>
      </c>
      <c r="B452" t="s">
        <v>29</v>
      </c>
      <c r="C452" s="1">
        <v>45260</v>
      </c>
      <c r="D452" s="1">
        <v>45264</v>
      </c>
      <c r="E452" t="s">
        <v>14</v>
      </c>
      <c r="F452" t="s">
        <v>19</v>
      </c>
      <c r="G452" s="2">
        <v>1265</v>
      </c>
      <c r="H452" s="3">
        <v>17.66</v>
      </c>
      <c r="I452">
        <v>16.97</v>
      </c>
      <c r="J452">
        <v>34</v>
      </c>
      <c r="K452" t="s">
        <v>16</v>
      </c>
      <c r="L452" s="3">
        <f t="shared" si="7"/>
        <v>21467.05</v>
      </c>
    </row>
    <row r="453" spans="1:12">
      <c r="A453" t="s">
        <v>479</v>
      </c>
      <c r="B453" t="s">
        <v>38</v>
      </c>
      <c r="C453" s="1">
        <v>44817</v>
      </c>
      <c r="D453" s="1">
        <v>44835</v>
      </c>
      <c r="E453" t="s">
        <v>26</v>
      </c>
      <c r="F453" t="s">
        <v>19</v>
      </c>
      <c r="G453" s="2">
        <v>1122</v>
      </c>
      <c r="H453" s="3">
        <v>82.99</v>
      </c>
      <c r="I453">
        <v>81.7</v>
      </c>
      <c r="J453">
        <v>118</v>
      </c>
      <c r="K453" t="s">
        <v>27</v>
      </c>
      <c r="L453" s="3">
        <f t="shared" si="7"/>
        <v>91667.400000000009</v>
      </c>
    </row>
    <row r="454" spans="1:12">
      <c r="A454" t="s">
        <v>480</v>
      </c>
      <c r="B454" t="s">
        <v>29</v>
      </c>
      <c r="C454" s="1">
        <v>45244</v>
      </c>
      <c r="D454" s="1">
        <v>45261</v>
      </c>
      <c r="E454" t="s">
        <v>14</v>
      </c>
      <c r="F454" t="s">
        <v>19</v>
      </c>
      <c r="G454" s="2">
        <v>1585</v>
      </c>
      <c r="H454" s="3">
        <v>56.38</v>
      </c>
      <c r="I454">
        <v>53.05</v>
      </c>
      <c r="K454" t="s">
        <v>16</v>
      </c>
      <c r="L454" s="3">
        <f t="shared" si="7"/>
        <v>84084.25</v>
      </c>
    </row>
    <row r="455" spans="1:12">
      <c r="A455" t="s">
        <v>481</v>
      </c>
      <c r="B455" t="s">
        <v>29</v>
      </c>
      <c r="C455" s="1">
        <v>44667</v>
      </c>
      <c r="D455" s="1">
        <v>44678</v>
      </c>
      <c r="E455" t="s">
        <v>40</v>
      </c>
      <c r="F455" t="s">
        <v>19</v>
      </c>
      <c r="G455">
        <v>66</v>
      </c>
      <c r="H455" s="3">
        <v>58.05</v>
      </c>
      <c r="I455">
        <v>50.76</v>
      </c>
      <c r="K455" t="s">
        <v>16</v>
      </c>
      <c r="L455" s="3">
        <f t="shared" si="7"/>
        <v>3350.16</v>
      </c>
    </row>
    <row r="456" spans="1:12">
      <c r="A456" t="s">
        <v>482</v>
      </c>
      <c r="B456" t="s">
        <v>38</v>
      </c>
      <c r="C456" s="1">
        <v>44924</v>
      </c>
      <c r="D456" s="1">
        <v>44944</v>
      </c>
      <c r="E456" t="s">
        <v>22</v>
      </c>
      <c r="F456" t="s">
        <v>19</v>
      </c>
      <c r="G456" s="2">
        <v>1245</v>
      </c>
      <c r="H456" s="3">
        <v>52.4</v>
      </c>
      <c r="I456">
        <v>51.65</v>
      </c>
      <c r="J456">
        <v>118</v>
      </c>
      <c r="K456" t="s">
        <v>27</v>
      </c>
      <c r="L456" s="3">
        <f t="shared" si="7"/>
        <v>64304.25</v>
      </c>
    </row>
    <row r="457" spans="1:12">
      <c r="A457" t="s">
        <v>483</v>
      </c>
      <c r="B457" t="s">
        <v>18</v>
      </c>
      <c r="C457" s="1">
        <v>45135</v>
      </c>
      <c r="D457" s="1">
        <v>45148</v>
      </c>
      <c r="E457" t="s">
        <v>40</v>
      </c>
      <c r="F457" t="s">
        <v>19</v>
      </c>
      <c r="G457" s="2">
        <v>1293</v>
      </c>
      <c r="H457" s="3">
        <v>50.21</v>
      </c>
      <c r="I457">
        <v>47.55</v>
      </c>
      <c r="K457" t="s">
        <v>27</v>
      </c>
      <c r="L457" s="3">
        <f t="shared" si="7"/>
        <v>61482.149999999994</v>
      </c>
    </row>
    <row r="458" spans="1:12">
      <c r="A458" t="s">
        <v>484</v>
      </c>
      <c r="B458" t="s">
        <v>38</v>
      </c>
      <c r="C458" s="1">
        <v>44978</v>
      </c>
      <c r="D458" s="1">
        <v>44984</v>
      </c>
      <c r="E458" t="s">
        <v>24</v>
      </c>
      <c r="F458" t="s">
        <v>19</v>
      </c>
      <c r="G458">
        <v>207</v>
      </c>
      <c r="H458" s="3">
        <v>64.290000000000006</v>
      </c>
      <c r="I458">
        <v>63.01</v>
      </c>
      <c r="J458">
        <v>25</v>
      </c>
      <c r="K458" t="s">
        <v>16</v>
      </c>
      <c r="L458" s="3">
        <f t="shared" si="7"/>
        <v>13043.07</v>
      </c>
    </row>
    <row r="459" spans="1:12">
      <c r="A459" t="s">
        <v>485</v>
      </c>
      <c r="B459" t="s">
        <v>38</v>
      </c>
      <c r="C459" s="1">
        <v>45197</v>
      </c>
      <c r="D459" s="1">
        <v>45217</v>
      </c>
      <c r="E459" t="s">
        <v>14</v>
      </c>
      <c r="F459" t="s">
        <v>19</v>
      </c>
      <c r="G459">
        <v>526</v>
      </c>
      <c r="H459" s="3">
        <v>26.37</v>
      </c>
      <c r="I459">
        <v>25.32</v>
      </c>
      <c r="J459">
        <v>47</v>
      </c>
      <c r="K459" t="s">
        <v>16</v>
      </c>
      <c r="L459" s="3">
        <f t="shared" si="7"/>
        <v>13318.32</v>
      </c>
    </row>
    <row r="460" spans="1:12">
      <c r="A460" t="s">
        <v>486</v>
      </c>
      <c r="B460" t="s">
        <v>21</v>
      </c>
      <c r="C460" s="1">
        <v>44720</v>
      </c>
      <c r="D460" s="1">
        <v>44726</v>
      </c>
      <c r="E460" t="s">
        <v>40</v>
      </c>
      <c r="F460" t="s">
        <v>19</v>
      </c>
      <c r="G460" s="2">
        <v>1119</v>
      </c>
      <c r="H460" s="3">
        <v>27.03</v>
      </c>
      <c r="I460">
        <v>23.82</v>
      </c>
      <c r="K460" t="s">
        <v>16</v>
      </c>
      <c r="L460" s="3">
        <f t="shared" si="7"/>
        <v>26654.58</v>
      </c>
    </row>
    <row r="461" spans="1:12">
      <c r="A461" t="s">
        <v>487</v>
      </c>
      <c r="B461" t="s">
        <v>21</v>
      </c>
      <c r="C461" s="1">
        <v>44804</v>
      </c>
      <c r="D461" s="1">
        <v>44806</v>
      </c>
      <c r="E461" t="s">
        <v>24</v>
      </c>
      <c r="F461" t="s">
        <v>19</v>
      </c>
      <c r="G461" s="2">
        <v>1446</v>
      </c>
      <c r="H461" s="3">
        <v>90.63</v>
      </c>
      <c r="I461">
        <v>84.51</v>
      </c>
      <c r="J461">
        <v>77</v>
      </c>
      <c r="K461" t="s">
        <v>16</v>
      </c>
      <c r="L461" s="3">
        <f t="shared" si="7"/>
        <v>122201.46</v>
      </c>
    </row>
    <row r="462" spans="1:12">
      <c r="A462" t="s">
        <v>488</v>
      </c>
      <c r="B462" t="s">
        <v>21</v>
      </c>
      <c r="C462" s="1">
        <v>44728</v>
      </c>
      <c r="D462" s="1">
        <v>44736</v>
      </c>
      <c r="E462" t="s">
        <v>14</v>
      </c>
      <c r="F462" t="s">
        <v>19</v>
      </c>
      <c r="G462">
        <v>567</v>
      </c>
      <c r="H462" s="3">
        <v>97.53</v>
      </c>
      <c r="I462">
        <v>85.29</v>
      </c>
      <c r="J462">
        <v>21</v>
      </c>
      <c r="K462" t="s">
        <v>16</v>
      </c>
      <c r="L462" s="3">
        <f t="shared" si="7"/>
        <v>48359.43</v>
      </c>
    </row>
    <row r="463" spans="1:12">
      <c r="A463" t="s">
        <v>489</v>
      </c>
      <c r="B463" t="s">
        <v>18</v>
      </c>
      <c r="C463" s="1">
        <v>44743</v>
      </c>
      <c r="E463" t="s">
        <v>22</v>
      </c>
      <c r="F463" t="s">
        <v>19</v>
      </c>
      <c r="G463">
        <v>148</v>
      </c>
      <c r="H463" s="3">
        <v>44.91</v>
      </c>
      <c r="I463">
        <v>40.1</v>
      </c>
      <c r="K463" t="s">
        <v>27</v>
      </c>
      <c r="L463" s="3">
        <f t="shared" si="7"/>
        <v>5934.8</v>
      </c>
    </row>
    <row r="464" spans="1:12">
      <c r="A464" t="s">
        <v>490</v>
      </c>
      <c r="B464" t="s">
        <v>38</v>
      </c>
      <c r="C464" s="1">
        <v>44984</v>
      </c>
      <c r="D464" s="1">
        <v>44999</v>
      </c>
      <c r="E464" t="s">
        <v>22</v>
      </c>
      <c r="F464" t="s">
        <v>35</v>
      </c>
      <c r="G464" s="2">
        <v>1965</v>
      </c>
      <c r="H464" s="3">
        <v>36.6</v>
      </c>
      <c r="I464">
        <v>34.64</v>
      </c>
      <c r="J464">
        <v>195</v>
      </c>
      <c r="K464" t="s">
        <v>16</v>
      </c>
      <c r="L464" s="3">
        <f t="shared" si="7"/>
        <v>68067.600000000006</v>
      </c>
    </row>
    <row r="465" spans="1:12">
      <c r="A465" t="s">
        <v>491</v>
      </c>
      <c r="B465" t="s">
        <v>13</v>
      </c>
      <c r="C465" s="1">
        <v>44587</v>
      </c>
      <c r="D465" s="1">
        <v>44595</v>
      </c>
      <c r="E465" t="s">
        <v>14</v>
      </c>
      <c r="F465" t="s">
        <v>35</v>
      </c>
      <c r="G465" s="2">
        <v>1818</v>
      </c>
      <c r="H465" s="3">
        <v>67.959999999999994</v>
      </c>
      <c r="I465">
        <v>58.98</v>
      </c>
      <c r="K465" t="s">
        <v>16</v>
      </c>
      <c r="L465" s="3">
        <f t="shared" si="7"/>
        <v>107225.64</v>
      </c>
    </row>
    <row r="466" spans="1:12">
      <c r="A466" t="s">
        <v>492</v>
      </c>
      <c r="B466" t="s">
        <v>38</v>
      </c>
      <c r="C466" s="1">
        <v>44745</v>
      </c>
      <c r="D466" s="1">
        <v>44761</v>
      </c>
      <c r="E466" t="s">
        <v>22</v>
      </c>
      <c r="F466" t="s">
        <v>19</v>
      </c>
      <c r="G466" s="2">
        <v>1110</v>
      </c>
      <c r="H466" s="3">
        <v>48.19</v>
      </c>
      <c r="I466">
        <v>45.88</v>
      </c>
      <c r="J466">
        <v>112</v>
      </c>
      <c r="K466" t="s">
        <v>16</v>
      </c>
      <c r="L466" s="3">
        <f t="shared" si="7"/>
        <v>50926.8</v>
      </c>
    </row>
    <row r="467" spans="1:12">
      <c r="A467" t="s">
        <v>493</v>
      </c>
      <c r="B467" t="s">
        <v>18</v>
      </c>
      <c r="C467" s="1">
        <v>44902</v>
      </c>
      <c r="E467" t="s">
        <v>26</v>
      </c>
      <c r="F467" t="s">
        <v>19</v>
      </c>
      <c r="G467">
        <v>329</v>
      </c>
      <c r="H467" s="3">
        <v>12.96</v>
      </c>
      <c r="I467">
        <v>12.74</v>
      </c>
      <c r="J467">
        <v>48</v>
      </c>
      <c r="K467" t="s">
        <v>16</v>
      </c>
      <c r="L467" s="3">
        <f t="shared" si="7"/>
        <v>4191.46</v>
      </c>
    </row>
    <row r="468" spans="1:12">
      <c r="A468" t="s">
        <v>494</v>
      </c>
      <c r="B468" t="s">
        <v>21</v>
      </c>
      <c r="C468" s="1">
        <v>44983</v>
      </c>
      <c r="D468" s="1">
        <v>45002</v>
      </c>
      <c r="E468" t="s">
        <v>14</v>
      </c>
      <c r="F468" t="s">
        <v>15</v>
      </c>
      <c r="G468" s="2">
        <v>1422</v>
      </c>
      <c r="H468" s="3">
        <v>25.62</v>
      </c>
      <c r="I468">
        <v>25.18</v>
      </c>
      <c r="J468">
        <v>65</v>
      </c>
      <c r="K468" t="s">
        <v>16</v>
      </c>
      <c r="L468" s="3">
        <f t="shared" si="7"/>
        <v>35805.96</v>
      </c>
    </row>
    <row r="469" spans="1:12">
      <c r="A469" t="s">
        <v>495</v>
      </c>
      <c r="B469" t="s">
        <v>18</v>
      </c>
      <c r="C469" s="1">
        <v>45247</v>
      </c>
      <c r="E469" t="s">
        <v>26</v>
      </c>
      <c r="F469" t="s">
        <v>19</v>
      </c>
      <c r="G469">
        <v>546</v>
      </c>
      <c r="H469" s="3">
        <v>82.63</v>
      </c>
      <c r="I469">
        <v>74.77</v>
      </c>
      <c r="J469">
        <v>76</v>
      </c>
      <c r="K469" t="s">
        <v>27</v>
      </c>
      <c r="L469" s="3">
        <f t="shared" si="7"/>
        <v>40824.42</v>
      </c>
    </row>
    <row r="470" spans="1:12">
      <c r="A470" t="s">
        <v>496</v>
      </c>
      <c r="B470" t="s">
        <v>21</v>
      </c>
      <c r="C470" s="1">
        <v>44816</v>
      </c>
      <c r="D470" s="1">
        <v>44826</v>
      </c>
      <c r="E470" t="s">
        <v>14</v>
      </c>
      <c r="F470" t="s">
        <v>33</v>
      </c>
      <c r="G470">
        <v>351</v>
      </c>
      <c r="H470" s="3">
        <v>72.08</v>
      </c>
      <c r="I470">
        <v>71.3</v>
      </c>
      <c r="J470">
        <v>20</v>
      </c>
      <c r="K470" t="s">
        <v>16</v>
      </c>
      <c r="L470" s="3">
        <f t="shared" si="7"/>
        <v>25026.3</v>
      </c>
    </row>
    <row r="471" spans="1:12">
      <c r="A471" t="s">
        <v>497</v>
      </c>
      <c r="B471" t="s">
        <v>18</v>
      </c>
      <c r="C471" s="1">
        <v>44835</v>
      </c>
      <c r="D471" s="1">
        <v>44852</v>
      </c>
      <c r="E471" t="s">
        <v>26</v>
      </c>
      <c r="F471" t="s">
        <v>33</v>
      </c>
      <c r="G471">
        <v>230</v>
      </c>
      <c r="H471" s="3">
        <v>13</v>
      </c>
      <c r="I471">
        <v>12.81</v>
      </c>
      <c r="K471" t="s">
        <v>27</v>
      </c>
      <c r="L471" s="3">
        <f t="shared" si="7"/>
        <v>2946.3</v>
      </c>
    </row>
    <row r="472" spans="1:12">
      <c r="A472" t="s">
        <v>498</v>
      </c>
      <c r="B472" t="s">
        <v>13</v>
      </c>
      <c r="C472" s="1">
        <v>44725</v>
      </c>
      <c r="D472" s="1">
        <v>44731</v>
      </c>
      <c r="E472" t="s">
        <v>22</v>
      </c>
      <c r="F472" t="s">
        <v>19</v>
      </c>
      <c r="G472">
        <v>656</v>
      </c>
      <c r="H472" s="3">
        <v>30.73</v>
      </c>
      <c r="I472">
        <v>26.26</v>
      </c>
      <c r="J472">
        <v>17</v>
      </c>
      <c r="K472" t="s">
        <v>16</v>
      </c>
      <c r="L472" s="3">
        <f t="shared" si="7"/>
        <v>17226.560000000001</v>
      </c>
    </row>
    <row r="473" spans="1:12">
      <c r="A473" t="s">
        <v>499</v>
      </c>
      <c r="B473" t="s">
        <v>21</v>
      </c>
      <c r="C473" s="1">
        <v>45280</v>
      </c>
      <c r="D473" s="1">
        <v>45300</v>
      </c>
      <c r="E473" t="s">
        <v>22</v>
      </c>
      <c r="F473" t="s">
        <v>19</v>
      </c>
      <c r="G473" s="2">
        <v>1172</v>
      </c>
      <c r="H473" s="3">
        <v>34.340000000000003</v>
      </c>
      <c r="I473">
        <v>32.090000000000003</v>
      </c>
      <c r="J473">
        <v>69</v>
      </c>
      <c r="K473" t="s">
        <v>16</v>
      </c>
      <c r="L473" s="3">
        <f t="shared" si="7"/>
        <v>37609.480000000003</v>
      </c>
    </row>
    <row r="474" spans="1:12">
      <c r="A474" t="s">
        <v>500</v>
      </c>
      <c r="B474" t="s">
        <v>21</v>
      </c>
      <c r="C474" s="1">
        <v>44672</v>
      </c>
      <c r="D474" s="1">
        <v>44681</v>
      </c>
      <c r="E474" t="s">
        <v>40</v>
      </c>
      <c r="F474" t="s">
        <v>19</v>
      </c>
      <c r="G474">
        <v>749</v>
      </c>
      <c r="H474" s="3">
        <v>71.53</v>
      </c>
      <c r="I474">
        <v>70.02</v>
      </c>
      <c r="J474">
        <v>41</v>
      </c>
      <c r="K474" t="s">
        <v>16</v>
      </c>
      <c r="L474" s="3">
        <f t="shared" si="7"/>
        <v>52444.979999999996</v>
      </c>
    </row>
    <row r="475" spans="1:12">
      <c r="A475" t="s">
        <v>501</v>
      </c>
      <c r="B475" t="s">
        <v>38</v>
      </c>
      <c r="C475" s="1">
        <v>44953</v>
      </c>
      <c r="D475" s="1">
        <v>44969</v>
      </c>
      <c r="E475" t="s">
        <v>24</v>
      </c>
      <c r="F475" t="s">
        <v>19</v>
      </c>
      <c r="G475" s="2">
        <v>1042</v>
      </c>
      <c r="H475" s="3">
        <v>12.48</v>
      </c>
      <c r="I475">
        <v>12.3</v>
      </c>
      <c r="J475">
        <v>88</v>
      </c>
      <c r="K475" t="s">
        <v>16</v>
      </c>
      <c r="L475" s="3">
        <f t="shared" si="7"/>
        <v>12816.6</v>
      </c>
    </row>
    <row r="476" spans="1:12">
      <c r="A476" t="s">
        <v>502</v>
      </c>
      <c r="B476" t="s">
        <v>18</v>
      </c>
      <c r="C476" s="1">
        <v>44601</v>
      </c>
      <c r="D476" s="1">
        <v>44619</v>
      </c>
      <c r="E476" t="s">
        <v>26</v>
      </c>
      <c r="F476" t="s">
        <v>19</v>
      </c>
      <c r="G476" s="2">
        <v>1189</v>
      </c>
      <c r="H476" s="3">
        <v>19.47</v>
      </c>
      <c r="I476">
        <v>17.149999999999999</v>
      </c>
      <c r="K476" t="s">
        <v>27</v>
      </c>
      <c r="L476" s="3">
        <f t="shared" si="7"/>
        <v>20391.349999999999</v>
      </c>
    </row>
    <row r="477" spans="1:12">
      <c r="A477" t="s">
        <v>503</v>
      </c>
      <c r="B477" t="s">
        <v>29</v>
      </c>
      <c r="C477" s="1">
        <v>45043</v>
      </c>
      <c r="E477" t="s">
        <v>14</v>
      </c>
      <c r="F477" t="s">
        <v>19</v>
      </c>
      <c r="G477">
        <v>240</v>
      </c>
      <c r="H477" s="3">
        <v>88.14</v>
      </c>
      <c r="I477">
        <v>81.900000000000006</v>
      </c>
      <c r="J477">
        <v>4</v>
      </c>
      <c r="K477" t="s">
        <v>16</v>
      </c>
      <c r="L477" s="3">
        <f t="shared" si="7"/>
        <v>19656</v>
      </c>
    </row>
    <row r="478" spans="1:12">
      <c r="A478" t="s">
        <v>504</v>
      </c>
      <c r="B478" t="s">
        <v>29</v>
      </c>
      <c r="C478" s="1">
        <v>44789</v>
      </c>
      <c r="D478" s="1">
        <v>44806</v>
      </c>
      <c r="E478" t="s">
        <v>22</v>
      </c>
      <c r="F478" t="s">
        <v>19</v>
      </c>
      <c r="G478">
        <v>302</v>
      </c>
      <c r="H478" s="3">
        <v>26.98</v>
      </c>
      <c r="I478">
        <v>26.47</v>
      </c>
      <c r="J478">
        <v>9</v>
      </c>
      <c r="K478" t="s">
        <v>16</v>
      </c>
      <c r="L478" s="3">
        <f t="shared" si="7"/>
        <v>7993.94</v>
      </c>
    </row>
    <row r="479" spans="1:12">
      <c r="A479" t="s">
        <v>505</v>
      </c>
      <c r="B479" t="s">
        <v>38</v>
      </c>
      <c r="C479" s="1">
        <v>44766</v>
      </c>
      <c r="D479" s="1">
        <v>44776</v>
      </c>
      <c r="E479" t="s">
        <v>22</v>
      </c>
      <c r="F479" t="s">
        <v>35</v>
      </c>
      <c r="G479" s="2">
        <v>1030</v>
      </c>
      <c r="H479" s="3">
        <v>70.81</v>
      </c>
      <c r="I479">
        <v>61.58</v>
      </c>
      <c r="K479" t="s">
        <v>27</v>
      </c>
      <c r="L479" s="3">
        <f t="shared" si="7"/>
        <v>63427.4</v>
      </c>
    </row>
    <row r="480" spans="1:12">
      <c r="A480" t="s">
        <v>506</v>
      </c>
      <c r="B480" t="s">
        <v>18</v>
      </c>
      <c r="C480" s="1">
        <v>45033</v>
      </c>
      <c r="D480" s="1">
        <v>45039</v>
      </c>
      <c r="E480" t="s">
        <v>14</v>
      </c>
      <c r="F480" t="s">
        <v>19</v>
      </c>
      <c r="G480">
        <v>977</v>
      </c>
      <c r="H480" s="3">
        <v>33.79</v>
      </c>
      <c r="I480">
        <v>32.25</v>
      </c>
      <c r="J480">
        <v>137</v>
      </c>
      <c r="K480" t="s">
        <v>16</v>
      </c>
      <c r="L480" s="3">
        <f t="shared" si="7"/>
        <v>31508.25</v>
      </c>
    </row>
    <row r="481" spans="1:12">
      <c r="A481" t="s">
        <v>507</v>
      </c>
      <c r="B481" t="s">
        <v>13</v>
      </c>
      <c r="C481" s="1">
        <v>44920</v>
      </c>
      <c r="D481" s="1">
        <v>44937</v>
      </c>
      <c r="E481" t="s">
        <v>24</v>
      </c>
      <c r="F481" t="s">
        <v>19</v>
      </c>
      <c r="G481" s="2">
        <v>1234</v>
      </c>
      <c r="H481" s="3">
        <v>19.989999999999998</v>
      </c>
      <c r="I481">
        <v>17.66</v>
      </c>
      <c r="J481">
        <v>25</v>
      </c>
      <c r="K481" t="s">
        <v>16</v>
      </c>
      <c r="L481" s="3">
        <f t="shared" si="7"/>
        <v>21792.44</v>
      </c>
    </row>
    <row r="482" spans="1:12">
      <c r="A482" t="s">
        <v>508</v>
      </c>
      <c r="B482" t="s">
        <v>38</v>
      </c>
      <c r="C482" s="1">
        <v>44874</v>
      </c>
      <c r="D482" s="1">
        <v>44888</v>
      </c>
      <c r="E482" t="s">
        <v>14</v>
      </c>
      <c r="F482" t="s">
        <v>19</v>
      </c>
      <c r="G482" s="2">
        <v>1329</v>
      </c>
      <c r="H482" s="3">
        <v>33.479999999999997</v>
      </c>
      <c r="I482">
        <v>33.06</v>
      </c>
      <c r="J482">
        <v>146</v>
      </c>
      <c r="K482" t="s">
        <v>16</v>
      </c>
      <c r="L482" s="3">
        <f t="shared" si="7"/>
        <v>43936.740000000005</v>
      </c>
    </row>
    <row r="483" spans="1:12">
      <c r="A483" t="s">
        <v>509</v>
      </c>
      <c r="B483" t="s">
        <v>21</v>
      </c>
      <c r="C483" s="1">
        <v>44795</v>
      </c>
      <c r="D483" s="1">
        <v>44803</v>
      </c>
      <c r="E483" t="s">
        <v>26</v>
      </c>
      <c r="F483" t="s">
        <v>19</v>
      </c>
      <c r="G483" s="2">
        <v>1396</v>
      </c>
      <c r="H483" s="3">
        <v>77.63</v>
      </c>
      <c r="I483">
        <v>67.81</v>
      </c>
      <c r="J483">
        <v>58</v>
      </c>
      <c r="K483" t="s">
        <v>16</v>
      </c>
      <c r="L483" s="3">
        <f t="shared" si="7"/>
        <v>94662.760000000009</v>
      </c>
    </row>
    <row r="484" spans="1:12">
      <c r="A484" t="s">
        <v>510</v>
      </c>
      <c r="B484" t="s">
        <v>13</v>
      </c>
      <c r="C484" s="1">
        <v>44790</v>
      </c>
      <c r="D484" s="1">
        <v>44802</v>
      </c>
      <c r="E484" t="s">
        <v>26</v>
      </c>
      <c r="F484" t="s">
        <v>19</v>
      </c>
      <c r="G484">
        <v>177</v>
      </c>
      <c r="H484" s="3">
        <v>90.06</v>
      </c>
      <c r="I484">
        <v>87.71</v>
      </c>
      <c r="J484">
        <v>7</v>
      </c>
      <c r="K484" t="s">
        <v>16</v>
      </c>
      <c r="L484" s="3">
        <f t="shared" si="7"/>
        <v>15524.669999999998</v>
      </c>
    </row>
    <row r="485" spans="1:12">
      <c r="A485" t="s">
        <v>511</v>
      </c>
      <c r="B485" t="s">
        <v>18</v>
      </c>
      <c r="C485" s="1">
        <v>44586</v>
      </c>
      <c r="E485" t="s">
        <v>40</v>
      </c>
      <c r="F485" t="s">
        <v>19</v>
      </c>
      <c r="G485">
        <v>67</v>
      </c>
      <c r="H485" s="3">
        <v>84.72</v>
      </c>
      <c r="I485">
        <v>73.06</v>
      </c>
      <c r="J485">
        <v>9</v>
      </c>
      <c r="K485" t="s">
        <v>16</v>
      </c>
      <c r="L485" s="3">
        <f t="shared" si="7"/>
        <v>4895.0200000000004</v>
      </c>
    </row>
    <row r="486" spans="1:12">
      <c r="A486" t="s">
        <v>512</v>
      </c>
      <c r="B486" t="s">
        <v>21</v>
      </c>
      <c r="C486" s="1">
        <v>45237</v>
      </c>
      <c r="D486" s="1">
        <v>45250</v>
      </c>
      <c r="E486" t="s">
        <v>14</v>
      </c>
      <c r="F486" t="s">
        <v>19</v>
      </c>
      <c r="G486" s="2">
        <v>1866</v>
      </c>
      <c r="H486" s="3">
        <v>50.78</v>
      </c>
      <c r="I486">
        <v>48.2</v>
      </c>
      <c r="J486">
        <v>96</v>
      </c>
      <c r="K486" t="s">
        <v>16</v>
      </c>
      <c r="L486" s="3">
        <f t="shared" si="7"/>
        <v>89941.200000000012</v>
      </c>
    </row>
    <row r="487" spans="1:12">
      <c r="A487" t="s">
        <v>513</v>
      </c>
      <c r="B487" t="s">
        <v>29</v>
      </c>
      <c r="C487" s="1">
        <v>44759</v>
      </c>
      <c r="D487" s="1">
        <v>44767</v>
      </c>
      <c r="E487" t="s">
        <v>22</v>
      </c>
      <c r="F487" t="s">
        <v>19</v>
      </c>
      <c r="G487" s="2">
        <v>1808</v>
      </c>
      <c r="H487" s="3">
        <v>72.23</v>
      </c>
      <c r="I487">
        <v>67.86</v>
      </c>
      <c r="J487">
        <v>53</v>
      </c>
      <c r="K487" t="s">
        <v>16</v>
      </c>
      <c r="L487" s="3">
        <f t="shared" si="7"/>
        <v>122690.88</v>
      </c>
    </row>
    <row r="488" spans="1:12">
      <c r="A488" t="s">
        <v>514</v>
      </c>
      <c r="B488" t="s">
        <v>18</v>
      </c>
      <c r="C488" s="1">
        <v>44970</v>
      </c>
      <c r="D488" s="1">
        <v>44973</v>
      </c>
      <c r="E488" t="s">
        <v>40</v>
      </c>
      <c r="F488" t="s">
        <v>15</v>
      </c>
      <c r="G488">
        <v>615</v>
      </c>
      <c r="H488" s="3">
        <v>30.3</v>
      </c>
      <c r="I488">
        <v>29.52</v>
      </c>
      <c r="J488">
        <v>96</v>
      </c>
      <c r="K488" t="s">
        <v>16</v>
      </c>
      <c r="L488" s="3">
        <f t="shared" si="7"/>
        <v>18154.8</v>
      </c>
    </row>
    <row r="489" spans="1:12">
      <c r="A489" t="s">
        <v>515</v>
      </c>
      <c r="B489" t="s">
        <v>21</v>
      </c>
      <c r="C489" s="1">
        <v>44898</v>
      </c>
      <c r="D489" s="1">
        <v>44899</v>
      </c>
      <c r="E489" t="s">
        <v>14</v>
      </c>
      <c r="F489" t="s">
        <v>35</v>
      </c>
      <c r="G489">
        <v>619</v>
      </c>
      <c r="H489" s="3">
        <v>38.380000000000003</v>
      </c>
      <c r="I489">
        <v>35.020000000000003</v>
      </c>
      <c r="J489">
        <v>34</v>
      </c>
      <c r="K489" t="s">
        <v>16</v>
      </c>
      <c r="L489" s="3">
        <f t="shared" si="7"/>
        <v>21677.38</v>
      </c>
    </row>
    <row r="490" spans="1:12">
      <c r="A490" t="s">
        <v>516</v>
      </c>
      <c r="B490" t="s">
        <v>18</v>
      </c>
      <c r="C490" s="1">
        <v>44847</v>
      </c>
      <c r="D490" s="1">
        <v>44851</v>
      </c>
      <c r="E490" t="s">
        <v>14</v>
      </c>
      <c r="F490" t="s">
        <v>19</v>
      </c>
      <c r="G490" s="2">
        <v>1396</v>
      </c>
      <c r="H490" s="3">
        <v>94.75</v>
      </c>
      <c r="I490">
        <v>84.06</v>
      </c>
      <c r="J490">
        <v>210</v>
      </c>
      <c r="K490" t="s">
        <v>16</v>
      </c>
      <c r="L490" s="3">
        <f t="shared" si="7"/>
        <v>117347.76000000001</v>
      </c>
    </row>
    <row r="491" spans="1:12">
      <c r="A491" t="s">
        <v>517</v>
      </c>
      <c r="B491" t="s">
        <v>21</v>
      </c>
      <c r="C491" s="1">
        <v>44633</v>
      </c>
      <c r="D491" s="1">
        <v>44644</v>
      </c>
      <c r="E491" t="s">
        <v>22</v>
      </c>
      <c r="F491" t="s">
        <v>19</v>
      </c>
      <c r="G491" s="2">
        <v>1945</v>
      </c>
      <c r="H491" s="3">
        <v>11.28</v>
      </c>
      <c r="I491">
        <v>9.98</v>
      </c>
      <c r="J491">
        <v>94</v>
      </c>
      <c r="K491" t="s">
        <v>16</v>
      </c>
      <c r="L491" s="3">
        <f t="shared" si="7"/>
        <v>19411.100000000002</v>
      </c>
    </row>
    <row r="492" spans="1:12">
      <c r="A492" t="s">
        <v>518</v>
      </c>
      <c r="B492" t="s">
        <v>18</v>
      </c>
      <c r="C492" s="1">
        <v>44847</v>
      </c>
      <c r="D492" s="1">
        <v>44852</v>
      </c>
      <c r="E492" t="s">
        <v>24</v>
      </c>
      <c r="F492" t="s">
        <v>19</v>
      </c>
      <c r="G492">
        <v>735</v>
      </c>
      <c r="H492" s="3">
        <v>18.489999999999998</v>
      </c>
      <c r="I492">
        <v>15.89</v>
      </c>
      <c r="J492">
        <v>113</v>
      </c>
      <c r="K492" t="s">
        <v>27</v>
      </c>
      <c r="L492" s="3">
        <f t="shared" si="7"/>
        <v>11679.15</v>
      </c>
    </row>
    <row r="493" spans="1:12">
      <c r="A493" t="s">
        <v>519</v>
      </c>
      <c r="B493" t="s">
        <v>29</v>
      </c>
      <c r="C493" s="1">
        <v>44921</v>
      </c>
      <c r="D493" s="1">
        <v>44937</v>
      </c>
      <c r="E493" t="s">
        <v>14</v>
      </c>
      <c r="F493" t="s">
        <v>35</v>
      </c>
      <c r="G493" s="2">
        <v>1865</v>
      </c>
      <c r="H493" s="3">
        <v>30.29</v>
      </c>
      <c r="I493">
        <v>26.83</v>
      </c>
      <c r="J493">
        <v>56</v>
      </c>
      <c r="K493" t="s">
        <v>16</v>
      </c>
      <c r="L493" s="3">
        <f t="shared" si="7"/>
        <v>50037.95</v>
      </c>
    </row>
    <row r="494" spans="1:12">
      <c r="A494" t="s">
        <v>520</v>
      </c>
      <c r="B494" t="s">
        <v>38</v>
      </c>
      <c r="C494" s="1">
        <v>45218</v>
      </c>
      <c r="D494" s="1">
        <v>45223</v>
      </c>
      <c r="E494" t="s">
        <v>40</v>
      </c>
      <c r="F494" t="s">
        <v>15</v>
      </c>
      <c r="G494">
        <v>675</v>
      </c>
      <c r="H494" s="3">
        <v>13.69</v>
      </c>
      <c r="I494">
        <v>11.84</v>
      </c>
      <c r="J494">
        <v>52</v>
      </c>
      <c r="K494" t="s">
        <v>16</v>
      </c>
      <c r="L494" s="3">
        <f t="shared" si="7"/>
        <v>7992</v>
      </c>
    </row>
    <row r="495" spans="1:12">
      <c r="A495" t="s">
        <v>521</v>
      </c>
      <c r="B495" t="s">
        <v>21</v>
      </c>
      <c r="C495" s="1">
        <v>45083</v>
      </c>
      <c r="D495" s="1">
        <v>45099</v>
      </c>
      <c r="E495" t="s">
        <v>22</v>
      </c>
      <c r="F495" t="s">
        <v>35</v>
      </c>
      <c r="G495" s="2">
        <v>1361</v>
      </c>
      <c r="H495" s="3">
        <v>28.57</v>
      </c>
      <c r="I495">
        <v>24.29</v>
      </c>
      <c r="J495">
        <v>65</v>
      </c>
      <c r="K495" t="s">
        <v>16</v>
      </c>
      <c r="L495" s="3">
        <f t="shared" si="7"/>
        <v>33058.69</v>
      </c>
    </row>
    <row r="496" spans="1:12">
      <c r="A496" t="s">
        <v>522</v>
      </c>
      <c r="B496" t="s">
        <v>21</v>
      </c>
      <c r="C496" s="1">
        <v>44971</v>
      </c>
      <c r="D496" s="1">
        <v>44972</v>
      </c>
      <c r="E496" t="s">
        <v>26</v>
      </c>
      <c r="F496" t="s">
        <v>19</v>
      </c>
      <c r="G496">
        <v>903</v>
      </c>
      <c r="H496" s="3">
        <v>66.53</v>
      </c>
      <c r="I496">
        <v>60.15</v>
      </c>
      <c r="J496">
        <v>29</v>
      </c>
      <c r="K496" t="s">
        <v>16</v>
      </c>
      <c r="L496" s="3">
        <f t="shared" si="7"/>
        <v>54315.45</v>
      </c>
    </row>
    <row r="497" spans="1:12">
      <c r="A497" t="s">
        <v>523</v>
      </c>
      <c r="B497" t="s">
        <v>29</v>
      </c>
      <c r="C497" s="1">
        <v>45257</v>
      </c>
      <c r="E497" t="s">
        <v>24</v>
      </c>
      <c r="F497" t="s">
        <v>15</v>
      </c>
      <c r="G497" s="2">
        <v>1736</v>
      </c>
      <c r="H497" s="3">
        <v>53.2</v>
      </c>
      <c r="I497">
        <v>50.68</v>
      </c>
      <c r="J497">
        <v>48</v>
      </c>
      <c r="K497" t="s">
        <v>16</v>
      </c>
      <c r="L497" s="3">
        <f t="shared" si="7"/>
        <v>87980.479999999996</v>
      </c>
    </row>
    <row r="498" spans="1:12">
      <c r="A498" t="s">
        <v>524</v>
      </c>
      <c r="B498" t="s">
        <v>38</v>
      </c>
      <c r="C498" s="1">
        <v>45111</v>
      </c>
      <c r="D498" s="1">
        <v>45118</v>
      </c>
      <c r="E498" t="s">
        <v>22</v>
      </c>
      <c r="F498" t="s">
        <v>19</v>
      </c>
      <c r="G498" s="2">
        <v>1011</v>
      </c>
      <c r="H498" s="3">
        <v>98.47</v>
      </c>
      <c r="I498">
        <v>97.06</v>
      </c>
      <c r="J498">
        <v>91</v>
      </c>
      <c r="K498" t="s">
        <v>16</v>
      </c>
      <c r="L498" s="3">
        <f t="shared" si="7"/>
        <v>98127.66</v>
      </c>
    </row>
    <row r="499" spans="1:12">
      <c r="A499" t="s">
        <v>525</v>
      </c>
      <c r="B499" t="s">
        <v>18</v>
      </c>
      <c r="C499" s="1">
        <v>44901</v>
      </c>
      <c r="D499" s="1">
        <v>44919</v>
      </c>
      <c r="E499" t="s">
        <v>40</v>
      </c>
      <c r="F499" t="s">
        <v>19</v>
      </c>
      <c r="G499" s="2">
        <v>1712</v>
      </c>
      <c r="H499" s="3">
        <v>88.17</v>
      </c>
      <c r="I499">
        <v>85.86</v>
      </c>
      <c r="J499">
        <v>246</v>
      </c>
      <c r="K499" t="s">
        <v>16</v>
      </c>
      <c r="L499" s="3">
        <f t="shared" si="7"/>
        <v>146992.32000000001</v>
      </c>
    </row>
    <row r="500" spans="1:12">
      <c r="A500" t="s">
        <v>526</v>
      </c>
      <c r="B500" t="s">
        <v>21</v>
      </c>
      <c r="C500" s="1">
        <v>44590</v>
      </c>
      <c r="E500" t="s">
        <v>14</v>
      </c>
      <c r="F500" t="s">
        <v>19</v>
      </c>
      <c r="G500">
        <v>204</v>
      </c>
      <c r="H500" s="3">
        <v>40.76</v>
      </c>
      <c r="I500">
        <v>37.46</v>
      </c>
      <c r="J500">
        <v>10</v>
      </c>
      <c r="K500" t="s">
        <v>16</v>
      </c>
      <c r="L500" s="3">
        <f t="shared" si="7"/>
        <v>7641.84</v>
      </c>
    </row>
    <row r="501" spans="1:12">
      <c r="A501" t="s">
        <v>527</v>
      </c>
      <c r="B501" t="s">
        <v>38</v>
      </c>
      <c r="C501" s="1">
        <v>44680</v>
      </c>
      <c r="D501" s="1">
        <v>44694</v>
      </c>
      <c r="E501" t="s">
        <v>40</v>
      </c>
      <c r="F501" t="s">
        <v>33</v>
      </c>
      <c r="G501">
        <v>539</v>
      </c>
      <c r="H501" s="3">
        <v>33.85</v>
      </c>
      <c r="I501">
        <v>30.57</v>
      </c>
      <c r="J501">
        <v>34</v>
      </c>
      <c r="K501" t="s">
        <v>27</v>
      </c>
      <c r="L501" s="3">
        <f t="shared" si="7"/>
        <v>16477.23</v>
      </c>
    </row>
    <row r="502" spans="1:12">
      <c r="A502" t="s">
        <v>528</v>
      </c>
      <c r="B502" t="s">
        <v>18</v>
      </c>
      <c r="C502" s="1">
        <v>44829</v>
      </c>
      <c r="D502" s="1">
        <v>44839</v>
      </c>
      <c r="E502" t="s">
        <v>14</v>
      </c>
      <c r="F502" t="s">
        <v>19</v>
      </c>
      <c r="G502" s="2">
        <v>1459</v>
      </c>
      <c r="H502" s="3">
        <v>45.94</v>
      </c>
      <c r="I502">
        <v>42.56</v>
      </c>
      <c r="J502">
        <v>212</v>
      </c>
      <c r="K502" t="s">
        <v>27</v>
      </c>
      <c r="L502" s="3">
        <f t="shared" si="7"/>
        <v>62095.040000000001</v>
      </c>
    </row>
    <row r="503" spans="1:12">
      <c r="A503" t="s">
        <v>529</v>
      </c>
      <c r="B503" t="s">
        <v>21</v>
      </c>
      <c r="C503" s="1">
        <v>44744</v>
      </c>
      <c r="D503" s="1">
        <v>44748</v>
      </c>
      <c r="E503" t="s">
        <v>22</v>
      </c>
      <c r="F503" t="s">
        <v>19</v>
      </c>
      <c r="G503">
        <v>834</v>
      </c>
      <c r="H503" s="3">
        <v>65.02</v>
      </c>
      <c r="I503">
        <v>56.19</v>
      </c>
      <c r="K503" t="s">
        <v>16</v>
      </c>
      <c r="L503" s="3">
        <f t="shared" si="7"/>
        <v>46862.46</v>
      </c>
    </row>
    <row r="504" spans="1:12">
      <c r="A504" t="s">
        <v>530</v>
      </c>
      <c r="B504" t="s">
        <v>21</v>
      </c>
      <c r="C504" s="1">
        <v>45156</v>
      </c>
      <c r="D504" s="1">
        <v>45170</v>
      </c>
      <c r="E504" t="s">
        <v>24</v>
      </c>
      <c r="F504" t="s">
        <v>33</v>
      </c>
      <c r="G504" s="2">
        <v>1177</v>
      </c>
      <c r="H504" s="3">
        <v>37.369999999999997</v>
      </c>
      <c r="I504">
        <v>34.270000000000003</v>
      </c>
      <c r="J504">
        <v>60</v>
      </c>
      <c r="K504" t="s">
        <v>16</v>
      </c>
      <c r="L504" s="3">
        <f t="shared" si="7"/>
        <v>40335.79</v>
      </c>
    </row>
    <row r="505" spans="1:12">
      <c r="A505" t="s">
        <v>531</v>
      </c>
      <c r="B505" t="s">
        <v>18</v>
      </c>
      <c r="C505" s="1">
        <v>44833</v>
      </c>
      <c r="D505" s="1">
        <v>44853</v>
      </c>
      <c r="E505" t="s">
        <v>22</v>
      </c>
      <c r="F505" t="s">
        <v>19</v>
      </c>
      <c r="G505" s="2">
        <v>1466</v>
      </c>
      <c r="H505" s="3">
        <v>68.819999999999993</v>
      </c>
      <c r="I505">
        <v>66.819999999999993</v>
      </c>
      <c r="J505">
        <v>211</v>
      </c>
      <c r="K505" t="s">
        <v>16</v>
      </c>
      <c r="L505" s="3">
        <f t="shared" si="7"/>
        <v>97958.12</v>
      </c>
    </row>
    <row r="506" spans="1:12">
      <c r="A506" t="s">
        <v>532</v>
      </c>
      <c r="B506" t="s">
        <v>29</v>
      </c>
      <c r="C506" s="1">
        <v>44601</v>
      </c>
      <c r="D506" s="1">
        <v>44605</v>
      </c>
      <c r="E506" t="s">
        <v>40</v>
      </c>
      <c r="F506" t="s">
        <v>19</v>
      </c>
      <c r="G506" s="2">
        <v>1884</v>
      </c>
      <c r="H506" s="3">
        <v>47.08</v>
      </c>
      <c r="I506">
        <v>44.31</v>
      </c>
      <c r="J506">
        <v>54</v>
      </c>
      <c r="K506" t="s">
        <v>16</v>
      </c>
      <c r="L506" s="3">
        <f t="shared" si="7"/>
        <v>83480.040000000008</v>
      </c>
    </row>
    <row r="507" spans="1:12">
      <c r="A507" t="s">
        <v>533</v>
      </c>
      <c r="B507" t="s">
        <v>38</v>
      </c>
      <c r="C507" s="1">
        <v>44673</v>
      </c>
      <c r="D507" s="1">
        <v>44689</v>
      </c>
      <c r="E507" t="s">
        <v>40</v>
      </c>
      <c r="F507" t="s">
        <v>19</v>
      </c>
      <c r="G507">
        <v>295</v>
      </c>
      <c r="H507" s="3">
        <v>60.58</v>
      </c>
      <c r="I507">
        <v>57.32</v>
      </c>
      <c r="J507">
        <v>31</v>
      </c>
      <c r="K507" t="s">
        <v>16</v>
      </c>
      <c r="L507" s="3">
        <f t="shared" si="7"/>
        <v>16909.400000000001</v>
      </c>
    </row>
    <row r="508" spans="1:12">
      <c r="A508" t="s">
        <v>534</v>
      </c>
      <c r="B508" t="s">
        <v>21</v>
      </c>
      <c r="C508" s="1">
        <v>45172</v>
      </c>
      <c r="D508" s="1">
        <v>45173</v>
      </c>
      <c r="E508" t="s">
        <v>26</v>
      </c>
      <c r="F508" t="s">
        <v>19</v>
      </c>
      <c r="G508" s="2">
        <v>1249</v>
      </c>
      <c r="H508" s="3">
        <v>54.18</v>
      </c>
      <c r="I508">
        <v>47.29</v>
      </c>
      <c r="J508">
        <v>59</v>
      </c>
      <c r="K508" t="s">
        <v>16</v>
      </c>
      <c r="L508" s="3">
        <f t="shared" si="7"/>
        <v>59065.21</v>
      </c>
    </row>
    <row r="509" spans="1:12">
      <c r="A509" t="s">
        <v>535</v>
      </c>
      <c r="B509" t="s">
        <v>18</v>
      </c>
      <c r="C509" s="1">
        <v>45006</v>
      </c>
      <c r="D509" s="1">
        <v>45025</v>
      </c>
      <c r="E509" t="s">
        <v>26</v>
      </c>
      <c r="F509" t="s">
        <v>19</v>
      </c>
      <c r="G509" s="2">
        <v>1112</v>
      </c>
      <c r="H509" s="3">
        <v>39.06</v>
      </c>
      <c r="I509">
        <v>33.6</v>
      </c>
      <c r="J509">
        <v>184</v>
      </c>
      <c r="K509" t="s">
        <v>27</v>
      </c>
      <c r="L509" s="3">
        <f t="shared" si="7"/>
        <v>37363.200000000004</v>
      </c>
    </row>
    <row r="510" spans="1:12">
      <c r="A510" t="s">
        <v>536</v>
      </c>
      <c r="B510" t="s">
        <v>21</v>
      </c>
      <c r="C510" s="1">
        <v>44915</v>
      </c>
      <c r="D510" s="1">
        <v>44920</v>
      </c>
      <c r="E510" t="s">
        <v>14</v>
      </c>
      <c r="F510" t="s">
        <v>19</v>
      </c>
      <c r="G510" s="2">
        <v>1550</v>
      </c>
      <c r="H510" s="3">
        <v>100.61</v>
      </c>
      <c r="I510">
        <v>97.43</v>
      </c>
      <c r="J510">
        <v>66</v>
      </c>
      <c r="K510" t="s">
        <v>16</v>
      </c>
      <c r="L510" s="3">
        <f t="shared" si="7"/>
        <v>151016.5</v>
      </c>
    </row>
    <row r="511" spans="1:12">
      <c r="A511" t="s">
        <v>537</v>
      </c>
      <c r="B511" t="s">
        <v>18</v>
      </c>
      <c r="C511" s="1">
        <v>44883</v>
      </c>
      <c r="D511" s="1">
        <v>44884</v>
      </c>
      <c r="E511" t="s">
        <v>40</v>
      </c>
      <c r="F511" t="s">
        <v>19</v>
      </c>
      <c r="G511" s="2">
        <v>1755</v>
      </c>
      <c r="H511" s="3">
        <v>82.66</v>
      </c>
      <c r="I511">
        <v>73.67</v>
      </c>
      <c r="J511">
        <v>258</v>
      </c>
      <c r="K511" t="s">
        <v>27</v>
      </c>
      <c r="L511" s="3">
        <f t="shared" si="7"/>
        <v>129290.85</v>
      </c>
    </row>
    <row r="512" spans="1:12">
      <c r="A512" t="s">
        <v>538</v>
      </c>
      <c r="B512" t="s">
        <v>21</v>
      </c>
      <c r="C512" s="1">
        <v>45008</v>
      </c>
      <c r="D512" s="1">
        <v>45016</v>
      </c>
      <c r="E512" t="s">
        <v>26</v>
      </c>
      <c r="F512" t="s">
        <v>19</v>
      </c>
      <c r="G512">
        <v>808</v>
      </c>
      <c r="H512" s="3">
        <v>24.19</v>
      </c>
      <c r="I512">
        <v>21.64</v>
      </c>
      <c r="J512">
        <v>39</v>
      </c>
      <c r="K512" t="s">
        <v>16</v>
      </c>
      <c r="L512" s="3">
        <f t="shared" si="7"/>
        <v>17485.12</v>
      </c>
    </row>
    <row r="513" spans="1:12">
      <c r="A513" t="s">
        <v>539</v>
      </c>
      <c r="B513" t="s">
        <v>13</v>
      </c>
      <c r="C513" s="1">
        <v>45182</v>
      </c>
      <c r="D513" s="1">
        <v>45188</v>
      </c>
      <c r="E513" t="s">
        <v>26</v>
      </c>
      <c r="F513" t="s">
        <v>33</v>
      </c>
      <c r="G513">
        <v>587</v>
      </c>
      <c r="H513" s="3">
        <v>96.98</v>
      </c>
      <c r="I513">
        <v>95.35</v>
      </c>
      <c r="J513">
        <v>14</v>
      </c>
      <c r="K513" t="s">
        <v>16</v>
      </c>
      <c r="L513" s="3">
        <f t="shared" si="7"/>
        <v>55970.45</v>
      </c>
    </row>
    <row r="514" spans="1:12">
      <c r="A514" t="s">
        <v>540</v>
      </c>
      <c r="B514" t="s">
        <v>29</v>
      </c>
      <c r="C514" s="1">
        <v>45085</v>
      </c>
      <c r="D514" s="1">
        <v>45088</v>
      </c>
      <c r="E514" t="s">
        <v>22</v>
      </c>
      <c r="F514" t="s">
        <v>19</v>
      </c>
      <c r="G514" s="2">
        <v>1940</v>
      </c>
      <c r="H514" s="3">
        <v>58.45</v>
      </c>
      <c r="I514">
        <v>50.29</v>
      </c>
      <c r="J514">
        <v>54</v>
      </c>
      <c r="K514" t="s">
        <v>16</v>
      </c>
      <c r="L514" s="3">
        <f t="shared" si="7"/>
        <v>97562.599999999991</v>
      </c>
    </row>
    <row r="515" spans="1:12">
      <c r="A515" t="s">
        <v>541</v>
      </c>
      <c r="B515" t="s">
        <v>38</v>
      </c>
      <c r="C515" s="1">
        <v>44680</v>
      </c>
      <c r="D515" s="1">
        <v>44692</v>
      </c>
      <c r="E515" t="s">
        <v>14</v>
      </c>
      <c r="F515" t="s">
        <v>15</v>
      </c>
      <c r="G515" s="2">
        <v>1891</v>
      </c>
      <c r="H515" s="3">
        <v>91.87</v>
      </c>
      <c r="I515">
        <v>80.28</v>
      </c>
      <c r="J515">
        <v>158</v>
      </c>
      <c r="K515" t="s">
        <v>16</v>
      </c>
      <c r="L515" s="3">
        <f t="shared" ref="L515:L578" si="8">I515*G515</f>
        <v>151809.48000000001</v>
      </c>
    </row>
    <row r="516" spans="1:12">
      <c r="A516" t="s">
        <v>542</v>
      </c>
      <c r="B516" t="s">
        <v>29</v>
      </c>
      <c r="C516" s="1">
        <v>44956</v>
      </c>
      <c r="D516" s="1">
        <v>44973</v>
      </c>
      <c r="E516" t="s">
        <v>24</v>
      </c>
      <c r="F516" t="s">
        <v>19</v>
      </c>
      <c r="G516">
        <v>970</v>
      </c>
      <c r="H516" s="3">
        <v>86.91</v>
      </c>
      <c r="I516">
        <v>78.44</v>
      </c>
      <c r="J516">
        <v>18</v>
      </c>
      <c r="K516" t="s">
        <v>16</v>
      </c>
      <c r="L516" s="3">
        <f t="shared" si="8"/>
        <v>76086.8</v>
      </c>
    </row>
    <row r="517" spans="1:12">
      <c r="A517" t="s">
        <v>543</v>
      </c>
      <c r="B517" t="s">
        <v>29</v>
      </c>
      <c r="C517" s="1">
        <v>45152</v>
      </c>
      <c r="D517" s="1">
        <v>45169</v>
      </c>
      <c r="E517" t="s">
        <v>22</v>
      </c>
      <c r="F517" t="s">
        <v>19</v>
      </c>
      <c r="G517">
        <v>457</v>
      </c>
      <c r="H517" s="3">
        <v>52.85</v>
      </c>
      <c r="I517">
        <v>50.34</v>
      </c>
      <c r="J517">
        <v>16</v>
      </c>
      <c r="K517" t="s">
        <v>16</v>
      </c>
      <c r="L517" s="3">
        <f t="shared" si="8"/>
        <v>23005.38</v>
      </c>
    </row>
    <row r="518" spans="1:12">
      <c r="A518" t="s">
        <v>544</v>
      </c>
      <c r="B518" t="s">
        <v>38</v>
      </c>
      <c r="C518" s="1">
        <v>44756</v>
      </c>
      <c r="D518" s="1">
        <v>44769</v>
      </c>
      <c r="E518" t="s">
        <v>14</v>
      </c>
      <c r="F518" t="s">
        <v>15</v>
      </c>
      <c r="G518">
        <v>574</v>
      </c>
      <c r="H518" s="3">
        <v>12.38</v>
      </c>
      <c r="I518">
        <v>11.47</v>
      </c>
      <c r="K518" t="s">
        <v>27</v>
      </c>
      <c r="L518" s="3">
        <f t="shared" si="8"/>
        <v>6583.7800000000007</v>
      </c>
    </row>
    <row r="519" spans="1:12">
      <c r="A519" t="s">
        <v>545</v>
      </c>
      <c r="B519" t="s">
        <v>29</v>
      </c>
      <c r="C519" s="1">
        <v>44822</v>
      </c>
      <c r="D519" s="1">
        <v>44824</v>
      </c>
      <c r="E519" t="s">
        <v>14</v>
      </c>
      <c r="F519" t="s">
        <v>19</v>
      </c>
      <c r="G519">
        <v>877</v>
      </c>
      <c r="H519" s="3">
        <v>35.549999999999997</v>
      </c>
      <c r="I519">
        <v>34.69</v>
      </c>
      <c r="J519">
        <v>24</v>
      </c>
      <c r="K519" t="s">
        <v>16</v>
      </c>
      <c r="L519" s="3">
        <f t="shared" si="8"/>
        <v>30423.129999999997</v>
      </c>
    </row>
    <row r="520" spans="1:12">
      <c r="A520" t="s">
        <v>546</v>
      </c>
      <c r="B520" t="s">
        <v>13</v>
      </c>
      <c r="C520" s="1">
        <v>44607</v>
      </c>
      <c r="D520" s="1">
        <v>44619</v>
      </c>
      <c r="E520" t="s">
        <v>22</v>
      </c>
      <c r="F520" t="s">
        <v>19</v>
      </c>
      <c r="G520" s="2">
        <v>1579</v>
      </c>
      <c r="H520" s="3">
        <v>59.04</v>
      </c>
      <c r="I520">
        <v>50.95</v>
      </c>
      <c r="J520">
        <v>29</v>
      </c>
      <c r="K520" t="s">
        <v>16</v>
      </c>
      <c r="L520" s="3">
        <f t="shared" si="8"/>
        <v>80450.05</v>
      </c>
    </row>
    <row r="521" spans="1:12">
      <c r="A521" t="s">
        <v>547</v>
      </c>
      <c r="B521" t="s">
        <v>18</v>
      </c>
      <c r="C521" s="1">
        <v>45287</v>
      </c>
      <c r="D521" s="1">
        <v>45288</v>
      </c>
      <c r="E521" t="s">
        <v>26</v>
      </c>
      <c r="F521" t="s">
        <v>19</v>
      </c>
      <c r="G521">
        <v>952</v>
      </c>
      <c r="H521" s="3">
        <v>74.72</v>
      </c>
      <c r="I521">
        <v>69.73</v>
      </c>
      <c r="K521" t="s">
        <v>16</v>
      </c>
      <c r="L521" s="3">
        <f t="shared" si="8"/>
        <v>66382.960000000006</v>
      </c>
    </row>
    <row r="522" spans="1:12">
      <c r="A522" t="s">
        <v>548</v>
      </c>
      <c r="B522" t="s">
        <v>38</v>
      </c>
      <c r="C522" s="1">
        <v>45008</v>
      </c>
      <c r="D522" s="1">
        <v>45011</v>
      </c>
      <c r="E522" t="s">
        <v>26</v>
      </c>
      <c r="F522" t="s">
        <v>35</v>
      </c>
      <c r="G522" s="2">
        <v>1898</v>
      </c>
      <c r="H522" s="3">
        <v>35.53</v>
      </c>
      <c r="I522">
        <v>33.25</v>
      </c>
      <c r="J522">
        <v>187</v>
      </c>
      <c r="K522" t="s">
        <v>16</v>
      </c>
      <c r="L522" s="3">
        <f t="shared" si="8"/>
        <v>63108.5</v>
      </c>
    </row>
    <row r="523" spans="1:12">
      <c r="A523" t="s">
        <v>549</v>
      </c>
      <c r="B523" t="s">
        <v>18</v>
      </c>
      <c r="C523" s="1">
        <v>44563</v>
      </c>
      <c r="D523" s="1">
        <v>44567</v>
      </c>
      <c r="E523" t="s">
        <v>24</v>
      </c>
      <c r="F523" t="s">
        <v>19</v>
      </c>
      <c r="G523">
        <v>85</v>
      </c>
      <c r="H523" s="3">
        <v>22.54</v>
      </c>
      <c r="I523">
        <v>20.68</v>
      </c>
      <c r="J523">
        <v>6</v>
      </c>
      <c r="K523" t="s">
        <v>16</v>
      </c>
      <c r="L523" s="3">
        <f t="shared" si="8"/>
        <v>1757.8</v>
      </c>
    </row>
    <row r="524" spans="1:12">
      <c r="A524" t="s">
        <v>550</v>
      </c>
      <c r="B524" t="s">
        <v>21</v>
      </c>
      <c r="C524" s="1">
        <v>45094</v>
      </c>
      <c r="D524" s="1">
        <v>45105</v>
      </c>
      <c r="E524" t="s">
        <v>24</v>
      </c>
      <c r="F524" t="s">
        <v>35</v>
      </c>
      <c r="G524">
        <v>734</v>
      </c>
      <c r="H524" s="3">
        <v>92.38</v>
      </c>
      <c r="I524">
        <v>78.92</v>
      </c>
      <c r="J524">
        <v>34</v>
      </c>
      <c r="K524" t="s">
        <v>27</v>
      </c>
      <c r="L524" s="3">
        <f t="shared" si="8"/>
        <v>57927.28</v>
      </c>
    </row>
    <row r="525" spans="1:12">
      <c r="A525" t="s">
        <v>551</v>
      </c>
      <c r="B525" t="s">
        <v>13</v>
      </c>
      <c r="C525" s="1">
        <v>45113</v>
      </c>
      <c r="D525" s="1">
        <v>45125</v>
      </c>
      <c r="E525" t="s">
        <v>14</v>
      </c>
      <c r="F525" t="s">
        <v>19</v>
      </c>
      <c r="G525">
        <v>69</v>
      </c>
      <c r="H525" s="3">
        <v>107.47</v>
      </c>
      <c r="I525">
        <v>105.53</v>
      </c>
      <c r="K525" t="s">
        <v>16</v>
      </c>
      <c r="L525" s="3">
        <f t="shared" si="8"/>
        <v>7281.57</v>
      </c>
    </row>
    <row r="526" spans="1:12">
      <c r="A526" t="s">
        <v>552</v>
      </c>
      <c r="B526" t="s">
        <v>18</v>
      </c>
      <c r="C526" s="1">
        <v>45265</v>
      </c>
      <c r="D526" s="1">
        <v>45271</v>
      </c>
      <c r="E526" t="s">
        <v>24</v>
      </c>
      <c r="F526" t="s">
        <v>19</v>
      </c>
      <c r="G526">
        <v>370</v>
      </c>
      <c r="H526" s="3">
        <v>63.9</v>
      </c>
      <c r="I526">
        <v>55.79</v>
      </c>
      <c r="J526">
        <v>59</v>
      </c>
      <c r="K526" t="s">
        <v>16</v>
      </c>
      <c r="L526" s="3">
        <f t="shared" si="8"/>
        <v>20642.3</v>
      </c>
    </row>
    <row r="527" spans="1:12">
      <c r="A527" t="s">
        <v>553</v>
      </c>
      <c r="B527" t="s">
        <v>18</v>
      </c>
      <c r="C527" s="1">
        <v>45248</v>
      </c>
      <c r="D527" s="1">
        <v>45263</v>
      </c>
      <c r="E527" t="s">
        <v>22</v>
      </c>
      <c r="F527" t="s">
        <v>19</v>
      </c>
      <c r="G527" s="2">
        <v>1849</v>
      </c>
      <c r="H527" s="3">
        <v>28.25</v>
      </c>
      <c r="I527">
        <v>27.53</v>
      </c>
      <c r="J527">
        <v>271</v>
      </c>
      <c r="K527" t="s">
        <v>16</v>
      </c>
      <c r="L527" s="3">
        <f t="shared" si="8"/>
        <v>50902.97</v>
      </c>
    </row>
    <row r="528" spans="1:12">
      <c r="A528" t="s">
        <v>554</v>
      </c>
      <c r="B528" t="s">
        <v>38</v>
      </c>
      <c r="C528" s="1">
        <v>44763</v>
      </c>
      <c r="E528" t="s">
        <v>24</v>
      </c>
      <c r="F528" t="s">
        <v>19</v>
      </c>
      <c r="G528">
        <v>561</v>
      </c>
      <c r="H528" s="3">
        <v>35.54</v>
      </c>
      <c r="I528">
        <v>30.99</v>
      </c>
      <c r="J528">
        <v>68</v>
      </c>
      <c r="K528" t="s">
        <v>27</v>
      </c>
      <c r="L528" s="3">
        <f t="shared" si="8"/>
        <v>17385.39</v>
      </c>
    </row>
    <row r="529" spans="1:12">
      <c r="A529" t="s">
        <v>555</v>
      </c>
      <c r="B529" t="s">
        <v>21</v>
      </c>
      <c r="C529" s="1">
        <v>44934</v>
      </c>
      <c r="D529" s="1">
        <v>44940</v>
      </c>
      <c r="E529" t="s">
        <v>40</v>
      </c>
      <c r="F529" t="s">
        <v>19</v>
      </c>
      <c r="G529">
        <v>449</v>
      </c>
      <c r="H529" s="3">
        <v>12.35</v>
      </c>
      <c r="I529">
        <v>10.67</v>
      </c>
      <c r="J529">
        <v>29</v>
      </c>
      <c r="K529" t="s">
        <v>16</v>
      </c>
      <c r="L529" s="3">
        <f t="shared" si="8"/>
        <v>4790.83</v>
      </c>
    </row>
    <row r="530" spans="1:12">
      <c r="A530" t="s">
        <v>556</v>
      </c>
      <c r="B530" t="s">
        <v>38</v>
      </c>
      <c r="C530" s="1">
        <v>45003</v>
      </c>
      <c r="D530" s="1">
        <v>45006</v>
      </c>
      <c r="E530" t="s">
        <v>14</v>
      </c>
      <c r="F530" t="s">
        <v>19</v>
      </c>
      <c r="G530">
        <v>703</v>
      </c>
      <c r="H530" s="3">
        <v>98.75</v>
      </c>
      <c r="I530">
        <v>86.78</v>
      </c>
      <c r="J530">
        <v>59</v>
      </c>
      <c r="K530" t="s">
        <v>16</v>
      </c>
      <c r="L530" s="3">
        <f t="shared" si="8"/>
        <v>61006.340000000004</v>
      </c>
    </row>
    <row r="531" spans="1:12">
      <c r="A531" t="s">
        <v>557</v>
      </c>
      <c r="B531" t="s">
        <v>21</v>
      </c>
      <c r="C531" s="1">
        <v>44633</v>
      </c>
      <c r="D531" s="1">
        <v>44648</v>
      </c>
      <c r="E531" t="s">
        <v>40</v>
      </c>
      <c r="F531" t="s">
        <v>19</v>
      </c>
      <c r="G531" s="2">
        <v>1021</v>
      </c>
      <c r="H531" s="3">
        <v>20.8</v>
      </c>
      <c r="I531">
        <v>18.23</v>
      </c>
      <c r="J531">
        <v>37</v>
      </c>
      <c r="K531" t="s">
        <v>16</v>
      </c>
      <c r="L531" s="3">
        <f t="shared" si="8"/>
        <v>18612.830000000002</v>
      </c>
    </row>
    <row r="532" spans="1:12">
      <c r="A532" t="s">
        <v>558</v>
      </c>
      <c r="B532" t="s">
        <v>38</v>
      </c>
      <c r="C532" s="1">
        <v>45242</v>
      </c>
      <c r="D532" s="1">
        <v>45249</v>
      </c>
      <c r="E532" t="s">
        <v>14</v>
      </c>
      <c r="F532" t="s">
        <v>19</v>
      </c>
      <c r="G532" s="2">
        <v>1956</v>
      </c>
      <c r="H532" s="3">
        <v>68.69</v>
      </c>
      <c r="I532">
        <v>65.09</v>
      </c>
      <c r="K532" t="s">
        <v>16</v>
      </c>
      <c r="L532" s="3">
        <f t="shared" si="8"/>
        <v>127316.04000000001</v>
      </c>
    </row>
    <row r="533" spans="1:12">
      <c r="A533" t="s">
        <v>559</v>
      </c>
      <c r="B533" t="s">
        <v>18</v>
      </c>
      <c r="C533" s="1">
        <v>44900</v>
      </c>
      <c r="D533" s="1">
        <v>44907</v>
      </c>
      <c r="E533" t="s">
        <v>14</v>
      </c>
      <c r="F533" t="s">
        <v>33</v>
      </c>
      <c r="G533">
        <v>520</v>
      </c>
      <c r="H533" s="3">
        <v>36.57</v>
      </c>
      <c r="I533">
        <v>34.78</v>
      </c>
      <c r="J533">
        <v>67</v>
      </c>
      <c r="K533" t="s">
        <v>27</v>
      </c>
      <c r="L533" s="3">
        <f t="shared" si="8"/>
        <v>18085.600000000002</v>
      </c>
    </row>
    <row r="534" spans="1:12">
      <c r="A534" t="s">
        <v>560</v>
      </c>
      <c r="B534" t="s">
        <v>18</v>
      </c>
      <c r="C534" s="1">
        <v>45200</v>
      </c>
      <c r="D534" s="1">
        <v>45211</v>
      </c>
      <c r="E534" t="s">
        <v>22</v>
      </c>
      <c r="F534" t="s">
        <v>19</v>
      </c>
      <c r="G534" s="2">
        <v>1216</v>
      </c>
      <c r="H534" s="3">
        <v>66.16</v>
      </c>
      <c r="I534">
        <v>63</v>
      </c>
      <c r="J534">
        <v>179</v>
      </c>
      <c r="K534" t="s">
        <v>27</v>
      </c>
      <c r="L534" s="3">
        <f t="shared" si="8"/>
        <v>76608</v>
      </c>
    </row>
    <row r="535" spans="1:12">
      <c r="A535" t="s">
        <v>561</v>
      </c>
      <c r="B535" t="s">
        <v>13</v>
      </c>
      <c r="C535" s="1">
        <v>44883</v>
      </c>
      <c r="E535" t="s">
        <v>26</v>
      </c>
      <c r="F535" t="s">
        <v>19</v>
      </c>
      <c r="G535" s="2">
        <v>1165</v>
      </c>
      <c r="H535" s="3">
        <v>72.06</v>
      </c>
      <c r="I535">
        <v>63.93</v>
      </c>
      <c r="K535" t="s">
        <v>16</v>
      </c>
      <c r="L535" s="3">
        <f t="shared" si="8"/>
        <v>74478.45</v>
      </c>
    </row>
    <row r="536" spans="1:12">
      <c r="A536" t="s">
        <v>562</v>
      </c>
      <c r="B536" t="s">
        <v>18</v>
      </c>
      <c r="C536" s="1">
        <v>45241</v>
      </c>
      <c r="D536" s="1">
        <v>45259</v>
      </c>
      <c r="E536" t="s">
        <v>24</v>
      </c>
      <c r="F536" t="s">
        <v>35</v>
      </c>
      <c r="G536" s="2">
        <v>1427</v>
      </c>
      <c r="H536" s="3">
        <v>93.99</v>
      </c>
      <c r="I536">
        <v>83.6</v>
      </c>
      <c r="J536">
        <v>213</v>
      </c>
      <c r="K536" t="s">
        <v>16</v>
      </c>
      <c r="L536" s="3">
        <f t="shared" si="8"/>
        <v>119297.2</v>
      </c>
    </row>
    <row r="537" spans="1:12">
      <c r="A537" t="s">
        <v>563</v>
      </c>
      <c r="B537" t="s">
        <v>29</v>
      </c>
      <c r="C537" s="1">
        <v>44689</v>
      </c>
      <c r="D537" s="1">
        <v>44691</v>
      </c>
      <c r="E537" t="s">
        <v>40</v>
      </c>
      <c r="F537" t="s">
        <v>19</v>
      </c>
      <c r="G537">
        <v>883</v>
      </c>
      <c r="H537" s="3">
        <v>29.15</v>
      </c>
      <c r="I537">
        <v>25.75</v>
      </c>
      <c r="J537">
        <v>14</v>
      </c>
      <c r="K537" t="s">
        <v>16</v>
      </c>
      <c r="L537" s="3">
        <f t="shared" si="8"/>
        <v>22737.25</v>
      </c>
    </row>
    <row r="538" spans="1:12">
      <c r="A538" t="s">
        <v>564</v>
      </c>
      <c r="B538" t="s">
        <v>18</v>
      </c>
      <c r="C538" s="1">
        <v>44869</v>
      </c>
      <c r="D538" s="1">
        <v>44876</v>
      </c>
      <c r="E538" t="s">
        <v>24</v>
      </c>
      <c r="F538" t="s">
        <v>33</v>
      </c>
      <c r="G538" s="2">
        <v>1873</v>
      </c>
      <c r="H538" s="3">
        <v>11.54</v>
      </c>
      <c r="I538">
        <v>9.89</v>
      </c>
      <c r="J538">
        <v>284</v>
      </c>
      <c r="K538" t="s">
        <v>27</v>
      </c>
      <c r="L538" s="3">
        <f t="shared" si="8"/>
        <v>18523.97</v>
      </c>
    </row>
    <row r="539" spans="1:12">
      <c r="A539" t="s">
        <v>565</v>
      </c>
      <c r="B539" t="s">
        <v>29</v>
      </c>
      <c r="C539" s="1">
        <v>45081</v>
      </c>
      <c r="D539" s="1">
        <v>45083</v>
      </c>
      <c r="E539" t="s">
        <v>14</v>
      </c>
      <c r="F539" t="s">
        <v>19</v>
      </c>
      <c r="G539">
        <v>776</v>
      </c>
      <c r="H539" s="3">
        <v>24.22</v>
      </c>
      <c r="I539">
        <v>22.53</v>
      </c>
      <c r="J539">
        <v>27</v>
      </c>
      <c r="K539" t="s">
        <v>16</v>
      </c>
      <c r="L539" s="3">
        <f t="shared" si="8"/>
        <v>17483.280000000002</v>
      </c>
    </row>
    <row r="540" spans="1:12">
      <c r="A540" t="s">
        <v>566</v>
      </c>
      <c r="B540" t="s">
        <v>18</v>
      </c>
      <c r="C540" s="1">
        <v>44878</v>
      </c>
      <c r="D540" s="1">
        <v>44889</v>
      </c>
      <c r="E540" t="s">
        <v>40</v>
      </c>
      <c r="F540" t="s">
        <v>19</v>
      </c>
      <c r="G540">
        <v>903</v>
      </c>
      <c r="H540" s="3">
        <v>95.55</v>
      </c>
      <c r="I540">
        <v>92.45</v>
      </c>
      <c r="J540">
        <v>149</v>
      </c>
      <c r="K540" t="s">
        <v>27</v>
      </c>
      <c r="L540" s="3">
        <f t="shared" si="8"/>
        <v>83482.350000000006</v>
      </c>
    </row>
    <row r="541" spans="1:12">
      <c r="A541" t="s">
        <v>567</v>
      </c>
      <c r="B541" t="s">
        <v>29</v>
      </c>
      <c r="C541" s="1">
        <v>45244</v>
      </c>
      <c r="D541" s="1">
        <v>45256</v>
      </c>
      <c r="E541" t="s">
        <v>40</v>
      </c>
      <c r="F541" t="s">
        <v>19</v>
      </c>
      <c r="G541">
        <v>100</v>
      </c>
      <c r="H541" s="3">
        <v>98.4</v>
      </c>
      <c r="I541">
        <v>85.76</v>
      </c>
      <c r="J541">
        <v>3</v>
      </c>
      <c r="K541" t="s">
        <v>16</v>
      </c>
      <c r="L541" s="3">
        <f t="shared" si="8"/>
        <v>8576</v>
      </c>
    </row>
    <row r="542" spans="1:12">
      <c r="A542" t="s">
        <v>568</v>
      </c>
      <c r="B542" t="s">
        <v>29</v>
      </c>
      <c r="C542" s="1">
        <v>44980</v>
      </c>
      <c r="D542" s="1">
        <v>44993</v>
      </c>
      <c r="E542" t="s">
        <v>14</v>
      </c>
      <c r="F542" t="s">
        <v>19</v>
      </c>
      <c r="G542" s="2">
        <v>1738</v>
      </c>
      <c r="H542" s="3">
        <v>67.91</v>
      </c>
      <c r="I542">
        <v>61.15</v>
      </c>
      <c r="K542" t="s">
        <v>16</v>
      </c>
      <c r="L542" s="3">
        <f t="shared" si="8"/>
        <v>106278.7</v>
      </c>
    </row>
    <row r="543" spans="1:12">
      <c r="A543" t="s">
        <v>569</v>
      </c>
      <c r="B543" t="s">
        <v>18</v>
      </c>
      <c r="C543" s="1">
        <v>44896</v>
      </c>
      <c r="D543" s="1">
        <v>44909</v>
      </c>
      <c r="E543" t="s">
        <v>24</v>
      </c>
      <c r="F543" t="s">
        <v>19</v>
      </c>
      <c r="G543" s="2">
        <v>1771</v>
      </c>
      <c r="H543" s="3">
        <v>67.569999999999993</v>
      </c>
      <c r="I543">
        <v>61.48</v>
      </c>
      <c r="J543">
        <v>280</v>
      </c>
      <c r="K543" t="s">
        <v>27</v>
      </c>
      <c r="L543" s="3">
        <f t="shared" si="8"/>
        <v>108881.07999999999</v>
      </c>
    </row>
    <row r="544" spans="1:12">
      <c r="A544" t="s">
        <v>570</v>
      </c>
      <c r="B544" t="s">
        <v>29</v>
      </c>
      <c r="C544" s="1">
        <v>44974</v>
      </c>
      <c r="D544" s="1">
        <v>44980</v>
      </c>
      <c r="E544" t="s">
        <v>40</v>
      </c>
      <c r="F544" t="s">
        <v>19</v>
      </c>
      <c r="G544">
        <v>624</v>
      </c>
      <c r="H544" s="3">
        <v>74.39</v>
      </c>
      <c r="I544">
        <v>66.3</v>
      </c>
      <c r="J544">
        <v>18</v>
      </c>
      <c r="K544" t="s">
        <v>27</v>
      </c>
      <c r="L544" s="3">
        <f t="shared" si="8"/>
        <v>41371.199999999997</v>
      </c>
    </row>
    <row r="545" spans="1:12">
      <c r="A545" t="s">
        <v>571</v>
      </c>
      <c r="B545" t="s">
        <v>13</v>
      </c>
      <c r="C545" s="1">
        <v>45275</v>
      </c>
      <c r="D545" s="1">
        <v>45291</v>
      </c>
      <c r="E545" t="s">
        <v>24</v>
      </c>
      <c r="F545" t="s">
        <v>33</v>
      </c>
      <c r="G545" s="2">
        <v>1263</v>
      </c>
      <c r="H545" s="3">
        <v>28.75</v>
      </c>
      <c r="I545">
        <v>27.1</v>
      </c>
      <c r="J545">
        <v>26</v>
      </c>
      <c r="K545" t="s">
        <v>16</v>
      </c>
      <c r="L545" s="3">
        <f t="shared" si="8"/>
        <v>34227.300000000003</v>
      </c>
    </row>
    <row r="546" spans="1:12">
      <c r="A546" t="s">
        <v>572</v>
      </c>
      <c r="B546" t="s">
        <v>21</v>
      </c>
      <c r="C546" s="1">
        <v>44864</v>
      </c>
      <c r="D546" s="1">
        <v>44881</v>
      </c>
      <c r="E546" t="s">
        <v>40</v>
      </c>
      <c r="F546" t="s">
        <v>15</v>
      </c>
      <c r="G546" s="2">
        <v>1198</v>
      </c>
      <c r="H546" s="3">
        <v>96.45</v>
      </c>
      <c r="I546">
        <v>90.09</v>
      </c>
      <c r="K546" t="s">
        <v>16</v>
      </c>
      <c r="L546" s="3">
        <f t="shared" si="8"/>
        <v>107927.82</v>
      </c>
    </row>
    <row r="547" spans="1:12">
      <c r="A547" t="s">
        <v>573</v>
      </c>
      <c r="B547" t="s">
        <v>29</v>
      </c>
      <c r="C547" s="1">
        <v>45129</v>
      </c>
      <c r="D547" s="1">
        <v>45132</v>
      </c>
      <c r="E547" t="s">
        <v>26</v>
      </c>
      <c r="F547" t="s">
        <v>19</v>
      </c>
      <c r="G547">
        <v>199</v>
      </c>
      <c r="H547" s="3">
        <v>51.98</v>
      </c>
      <c r="I547">
        <v>45.64</v>
      </c>
      <c r="K547" t="s">
        <v>27</v>
      </c>
      <c r="L547" s="3">
        <f t="shared" si="8"/>
        <v>9082.36</v>
      </c>
    </row>
    <row r="548" spans="1:12">
      <c r="A548" t="s">
        <v>574</v>
      </c>
      <c r="B548" t="s">
        <v>29</v>
      </c>
      <c r="C548" s="1">
        <v>44692</v>
      </c>
      <c r="D548" s="1">
        <v>44695</v>
      </c>
      <c r="E548" t="s">
        <v>22</v>
      </c>
      <c r="F548" t="s">
        <v>35</v>
      </c>
      <c r="G548">
        <v>363</v>
      </c>
      <c r="H548" s="3">
        <v>45.37</v>
      </c>
      <c r="I548">
        <v>38.729999999999997</v>
      </c>
      <c r="K548" t="s">
        <v>16</v>
      </c>
      <c r="L548" s="3">
        <f t="shared" si="8"/>
        <v>14058.989999999998</v>
      </c>
    </row>
    <row r="549" spans="1:12">
      <c r="A549" t="s">
        <v>575</v>
      </c>
      <c r="B549" t="s">
        <v>13</v>
      </c>
      <c r="C549" s="1">
        <v>44758</v>
      </c>
      <c r="D549" s="1">
        <v>44764</v>
      </c>
      <c r="E549" t="s">
        <v>14</v>
      </c>
      <c r="F549" t="s">
        <v>19</v>
      </c>
      <c r="G549">
        <v>619</v>
      </c>
      <c r="H549" s="3">
        <v>58.4</v>
      </c>
      <c r="I549">
        <v>51.04</v>
      </c>
      <c r="K549" t="s">
        <v>16</v>
      </c>
      <c r="L549" s="3">
        <f t="shared" si="8"/>
        <v>31593.759999999998</v>
      </c>
    </row>
    <row r="550" spans="1:12">
      <c r="A550" t="s">
        <v>576</v>
      </c>
      <c r="B550" t="s">
        <v>13</v>
      </c>
      <c r="C550" s="1">
        <v>44992</v>
      </c>
      <c r="D550" s="1">
        <v>45003</v>
      </c>
      <c r="E550" t="s">
        <v>22</v>
      </c>
      <c r="F550" t="s">
        <v>19</v>
      </c>
      <c r="G550" s="2">
        <v>1415</v>
      </c>
      <c r="H550" s="3">
        <v>15.22</v>
      </c>
      <c r="I550">
        <v>13.56</v>
      </c>
      <c r="J550">
        <v>30</v>
      </c>
      <c r="K550" t="s">
        <v>16</v>
      </c>
      <c r="L550" s="3">
        <f t="shared" si="8"/>
        <v>19187.400000000001</v>
      </c>
    </row>
    <row r="551" spans="1:12">
      <c r="A551" t="s">
        <v>577</v>
      </c>
      <c r="B551" t="s">
        <v>38</v>
      </c>
      <c r="C551" s="1">
        <v>45242</v>
      </c>
      <c r="D551" s="1">
        <v>45253</v>
      </c>
      <c r="E551" t="s">
        <v>24</v>
      </c>
      <c r="F551" t="s">
        <v>19</v>
      </c>
      <c r="G551">
        <v>354</v>
      </c>
      <c r="H551" s="3">
        <v>27.71</v>
      </c>
      <c r="I551">
        <v>23.87</v>
      </c>
      <c r="J551">
        <v>39</v>
      </c>
      <c r="K551" t="s">
        <v>27</v>
      </c>
      <c r="L551" s="3">
        <f t="shared" si="8"/>
        <v>8449.98</v>
      </c>
    </row>
    <row r="552" spans="1:12">
      <c r="A552" t="s">
        <v>578</v>
      </c>
      <c r="B552" t="s">
        <v>21</v>
      </c>
      <c r="C552" s="1">
        <v>44950</v>
      </c>
      <c r="D552" s="1">
        <v>44960</v>
      </c>
      <c r="E552" t="s">
        <v>22</v>
      </c>
      <c r="F552" t="s">
        <v>19</v>
      </c>
      <c r="G552" s="2">
        <v>1765</v>
      </c>
      <c r="H552" s="3">
        <v>81.010000000000005</v>
      </c>
      <c r="I552">
        <v>78.430000000000007</v>
      </c>
      <c r="J552">
        <v>78</v>
      </c>
      <c r="K552" t="s">
        <v>16</v>
      </c>
      <c r="L552" s="3">
        <f t="shared" si="8"/>
        <v>138428.95000000001</v>
      </c>
    </row>
    <row r="553" spans="1:12">
      <c r="A553" t="s">
        <v>579</v>
      </c>
      <c r="B553" t="s">
        <v>38</v>
      </c>
      <c r="C553" s="1">
        <v>45255</v>
      </c>
      <c r="D553" s="1">
        <v>45269</v>
      </c>
      <c r="E553" t="s">
        <v>22</v>
      </c>
      <c r="F553" t="s">
        <v>19</v>
      </c>
      <c r="G553">
        <v>731</v>
      </c>
      <c r="H553" s="3">
        <v>19.37</v>
      </c>
      <c r="I553">
        <v>17.3</v>
      </c>
      <c r="J553">
        <v>69</v>
      </c>
      <c r="K553" t="s">
        <v>27</v>
      </c>
      <c r="L553" s="3">
        <f t="shared" si="8"/>
        <v>12646.300000000001</v>
      </c>
    </row>
    <row r="554" spans="1:12">
      <c r="A554" t="s">
        <v>580</v>
      </c>
      <c r="B554" t="s">
        <v>29</v>
      </c>
      <c r="C554" s="1">
        <v>44740</v>
      </c>
      <c r="D554" s="1">
        <v>44755</v>
      </c>
      <c r="E554" t="s">
        <v>22</v>
      </c>
      <c r="F554" t="s">
        <v>19</v>
      </c>
      <c r="G554">
        <v>887</v>
      </c>
      <c r="H554" s="3">
        <v>65.89</v>
      </c>
      <c r="I554">
        <v>59.67</v>
      </c>
      <c r="J554">
        <v>29</v>
      </c>
      <c r="K554" t="s">
        <v>16</v>
      </c>
      <c r="L554" s="3">
        <f t="shared" si="8"/>
        <v>52927.29</v>
      </c>
    </row>
    <row r="555" spans="1:12">
      <c r="A555" t="s">
        <v>581</v>
      </c>
      <c r="B555" t="s">
        <v>13</v>
      </c>
      <c r="C555" s="1">
        <v>45192</v>
      </c>
      <c r="D555" s="1">
        <v>45194</v>
      </c>
      <c r="E555" t="s">
        <v>22</v>
      </c>
      <c r="F555" t="s">
        <v>19</v>
      </c>
      <c r="G555" s="2">
        <v>1856</v>
      </c>
      <c r="H555" s="3">
        <v>35.29</v>
      </c>
      <c r="I555">
        <v>32.409999999999997</v>
      </c>
      <c r="J555">
        <v>26</v>
      </c>
      <c r="K555" t="s">
        <v>16</v>
      </c>
      <c r="L555" s="3">
        <f t="shared" si="8"/>
        <v>60152.959999999992</v>
      </c>
    </row>
    <row r="556" spans="1:12">
      <c r="A556" t="s">
        <v>582</v>
      </c>
      <c r="B556" t="s">
        <v>29</v>
      </c>
      <c r="C556" s="1">
        <v>45144</v>
      </c>
      <c r="D556" s="1">
        <v>45156</v>
      </c>
      <c r="E556" t="s">
        <v>14</v>
      </c>
      <c r="F556" t="s">
        <v>19</v>
      </c>
      <c r="G556" s="2">
        <v>1127</v>
      </c>
      <c r="H556" s="3">
        <v>49.32</v>
      </c>
      <c r="I556">
        <v>46.49</v>
      </c>
      <c r="J556">
        <v>30</v>
      </c>
      <c r="K556" t="s">
        <v>16</v>
      </c>
      <c r="L556" s="3">
        <f t="shared" si="8"/>
        <v>52394.23</v>
      </c>
    </row>
    <row r="557" spans="1:12">
      <c r="A557" t="s">
        <v>583</v>
      </c>
      <c r="B557" t="s">
        <v>18</v>
      </c>
      <c r="C557" s="1">
        <v>44870</v>
      </c>
      <c r="D557" s="1">
        <v>44884</v>
      </c>
      <c r="E557" t="s">
        <v>26</v>
      </c>
      <c r="F557" t="s">
        <v>19</v>
      </c>
      <c r="G557" s="2">
        <v>1052</v>
      </c>
      <c r="H557" s="3">
        <v>37.78</v>
      </c>
      <c r="I557">
        <v>32.6</v>
      </c>
      <c r="J557">
        <v>162</v>
      </c>
      <c r="K557" t="s">
        <v>16</v>
      </c>
      <c r="L557" s="3">
        <f t="shared" si="8"/>
        <v>34295.200000000004</v>
      </c>
    </row>
    <row r="558" spans="1:12">
      <c r="A558" t="s">
        <v>584</v>
      </c>
      <c r="B558" t="s">
        <v>21</v>
      </c>
      <c r="C558" s="1">
        <v>44977</v>
      </c>
      <c r="D558" s="1">
        <v>44979</v>
      </c>
      <c r="E558" t="s">
        <v>26</v>
      </c>
      <c r="F558" t="s">
        <v>19</v>
      </c>
      <c r="G558">
        <v>493</v>
      </c>
      <c r="H558" s="3">
        <v>44.74</v>
      </c>
      <c r="I558">
        <v>41.44</v>
      </c>
      <c r="J558">
        <v>24</v>
      </c>
      <c r="K558" t="s">
        <v>27</v>
      </c>
      <c r="L558" s="3">
        <f t="shared" si="8"/>
        <v>20429.919999999998</v>
      </c>
    </row>
    <row r="559" spans="1:12">
      <c r="A559" t="s">
        <v>585</v>
      </c>
      <c r="B559" t="s">
        <v>18</v>
      </c>
      <c r="C559" s="1">
        <v>45123</v>
      </c>
      <c r="D559" s="1">
        <v>45136</v>
      </c>
      <c r="E559" t="s">
        <v>22</v>
      </c>
      <c r="F559" t="s">
        <v>33</v>
      </c>
      <c r="G559">
        <v>662</v>
      </c>
      <c r="H559" s="3">
        <v>81.44</v>
      </c>
      <c r="I559">
        <v>71.33</v>
      </c>
      <c r="J559">
        <v>87</v>
      </c>
      <c r="K559" t="s">
        <v>16</v>
      </c>
      <c r="L559" s="3">
        <f t="shared" si="8"/>
        <v>47220.46</v>
      </c>
    </row>
    <row r="560" spans="1:12">
      <c r="A560" t="s">
        <v>586</v>
      </c>
      <c r="B560" t="s">
        <v>13</v>
      </c>
      <c r="C560" s="1">
        <v>44562</v>
      </c>
      <c r="D560" s="1">
        <v>44568</v>
      </c>
      <c r="E560" t="s">
        <v>26</v>
      </c>
      <c r="F560" t="s">
        <v>19</v>
      </c>
      <c r="G560" s="2">
        <v>1042</v>
      </c>
      <c r="H560" s="3">
        <v>36.74</v>
      </c>
      <c r="I560">
        <v>35.78</v>
      </c>
      <c r="J560">
        <v>33</v>
      </c>
      <c r="K560" t="s">
        <v>16</v>
      </c>
      <c r="L560" s="3">
        <f t="shared" si="8"/>
        <v>37282.76</v>
      </c>
    </row>
    <row r="561" spans="1:12">
      <c r="A561" t="s">
        <v>587</v>
      </c>
      <c r="B561" t="s">
        <v>13</v>
      </c>
      <c r="C561" s="1">
        <v>44873</v>
      </c>
      <c r="E561" t="s">
        <v>26</v>
      </c>
      <c r="F561" t="s">
        <v>19</v>
      </c>
      <c r="G561">
        <v>313</v>
      </c>
      <c r="H561" s="3">
        <v>64.03</v>
      </c>
      <c r="I561">
        <v>57.74</v>
      </c>
      <c r="J561">
        <v>1</v>
      </c>
      <c r="K561" t="s">
        <v>16</v>
      </c>
      <c r="L561" s="3">
        <f t="shared" si="8"/>
        <v>18072.62</v>
      </c>
    </row>
    <row r="562" spans="1:12">
      <c r="A562" t="s">
        <v>588</v>
      </c>
      <c r="B562" t="s">
        <v>13</v>
      </c>
      <c r="C562" s="1">
        <v>44855</v>
      </c>
      <c r="D562" s="1">
        <v>44875</v>
      </c>
      <c r="E562" t="s">
        <v>14</v>
      </c>
      <c r="F562" t="s">
        <v>19</v>
      </c>
      <c r="G562" s="2">
        <v>1126</v>
      </c>
      <c r="H562" s="3">
        <v>55.22</v>
      </c>
      <c r="I562">
        <v>50.38</v>
      </c>
      <c r="K562" t="s">
        <v>16</v>
      </c>
      <c r="L562" s="3">
        <f t="shared" si="8"/>
        <v>56727.880000000005</v>
      </c>
    </row>
    <row r="563" spans="1:12">
      <c r="A563" t="s">
        <v>589</v>
      </c>
      <c r="B563" t="s">
        <v>21</v>
      </c>
      <c r="C563" s="1">
        <v>44777</v>
      </c>
      <c r="D563" s="1">
        <v>44792</v>
      </c>
      <c r="E563" t="s">
        <v>22</v>
      </c>
      <c r="F563" t="s">
        <v>19</v>
      </c>
      <c r="G563" s="2">
        <v>1645</v>
      </c>
      <c r="H563" s="3">
        <v>72.17</v>
      </c>
      <c r="I563">
        <v>64</v>
      </c>
      <c r="J563">
        <v>79</v>
      </c>
      <c r="K563" t="s">
        <v>16</v>
      </c>
      <c r="L563" s="3">
        <f t="shared" si="8"/>
        <v>105280</v>
      </c>
    </row>
    <row r="564" spans="1:12">
      <c r="A564" t="s">
        <v>590</v>
      </c>
      <c r="B564" t="s">
        <v>38</v>
      </c>
      <c r="C564" s="1">
        <v>45002</v>
      </c>
      <c r="D564" s="1">
        <v>45005</v>
      </c>
      <c r="E564" t="s">
        <v>24</v>
      </c>
      <c r="F564" t="s">
        <v>19</v>
      </c>
      <c r="G564" s="2">
        <v>1053</v>
      </c>
      <c r="H564" s="3">
        <v>100.92</v>
      </c>
      <c r="I564">
        <v>92.35</v>
      </c>
      <c r="J564">
        <v>104</v>
      </c>
      <c r="K564" t="s">
        <v>16</v>
      </c>
      <c r="L564" s="3">
        <f t="shared" si="8"/>
        <v>97244.549999999988</v>
      </c>
    </row>
    <row r="565" spans="1:12">
      <c r="A565" t="s">
        <v>591</v>
      </c>
      <c r="B565" t="s">
        <v>29</v>
      </c>
      <c r="C565" s="1">
        <v>45155</v>
      </c>
      <c r="D565" s="1">
        <v>45167</v>
      </c>
      <c r="E565" t="s">
        <v>22</v>
      </c>
      <c r="F565" t="s">
        <v>19</v>
      </c>
      <c r="G565" s="2">
        <v>1693</v>
      </c>
      <c r="H565" s="3">
        <v>83.14</v>
      </c>
      <c r="I565">
        <v>73.3</v>
      </c>
      <c r="J565">
        <v>62</v>
      </c>
      <c r="K565" t="s">
        <v>16</v>
      </c>
      <c r="L565" s="3">
        <f t="shared" si="8"/>
        <v>124096.9</v>
      </c>
    </row>
    <row r="566" spans="1:12">
      <c r="A566" t="s">
        <v>592</v>
      </c>
      <c r="B566" t="s">
        <v>29</v>
      </c>
      <c r="C566" s="1">
        <v>45183</v>
      </c>
      <c r="D566" s="1">
        <v>45202</v>
      </c>
      <c r="E566" t="s">
        <v>26</v>
      </c>
      <c r="F566" t="s">
        <v>35</v>
      </c>
      <c r="G566">
        <v>54</v>
      </c>
      <c r="H566" s="3">
        <v>32.28</v>
      </c>
      <c r="I566">
        <v>28.65</v>
      </c>
      <c r="J566">
        <v>3</v>
      </c>
      <c r="K566" t="s">
        <v>16</v>
      </c>
      <c r="L566" s="3">
        <f t="shared" si="8"/>
        <v>1547.1</v>
      </c>
    </row>
    <row r="567" spans="1:12">
      <c r="A567" t="s">
        <v>593</v>
      </c>
      <c r="B567" t="s">
        <v>29</v>
      </c>
      <c r="C567" s="1">
        <v>45232</v>
      </c>
      <c r="D567" s="1">
        <v>45237</v>
      </c>
      <c r="E567" t="s">
        <v>24</v>
      </c>
      <c r="F567" t="s">
        <v>19</v>
      </c>
      <c r="G567" s="2">
        <v>1176</v>
      </c>
      <c r="H567" s="3">
        <v>14.22</v>
      </c>
      <c r="I567">
        <v>12.21</v>
      </c>
      <c r="J567">
        <v>33</v>
      </c>
      <c r="K567" t="s">
        <v>16</v>
      </c>
      <c r="L567" s="3">
        <f t="shared" si="8"/>
        <v>14358.960000000001</v>
      </c>
    </row>
    <row r="568" spans="1:12">
      <c r="A568" t="s">
        <v>594</v>
      </c>
      <c r="B568" t="s">
        <v>29</v>
      </c>
      <c r="C568" s="1">
        <v>44891</v>
      </c>
      <c r="D568" s="1">
        <v>44903</v>
      </c>
      <c r="E568" t="s">
        <v>26</v>
      </c>
      <c r="F568" t="s">
        <v>19</v>
      </c>
      <c r="G568" s="2">
        <v>1269</v>
      </c>
      <c r="H568" s="3">
        <v>35.28</v>
      </c>
      <c r="I568">
        <v>33.700000000000003</v>
      </c>
      <c r="J568">
        <v>35</v>
      </c>
      <c r="K568" t="s">
        <v>16</v>
      </c>
      <c r="L568" s="3">
        <f t="shared" si="8"/>
        <v>42765.3</v>
      </c>
    </row>
    <row r="569" spans="1:12">
      <c r="A569" t="s">
        <v>595</v>
      </c>
      <c r="B569" t="s">
        <v>29</v>
      </c>
      <c r="C569" s="1">
        <v>45038</v>
      </c>
      <c r="D569" s="1">
        <v>45041</v>
      </c>
      <c r="E569" t="s">
        <v>26</v>
      </c>
      <c r="F569" t="s">
        <v>19</v>
      </c>
      <c r="G569">
        <v>823</v>
      </c>
      <c r="H569" s="3">
        <v>68.319999999999993</v>
      </c>
      <c r="I569">
        <v>64.459999999999994</v>
      </c>
      <c r="J569">
        <v>19</v>
      </c>
      <c r="K569" t="s">
        <v>16</v>
      </c>
      <c r="L569" s="3">
        <f t="shared" si="8"/>
        <v>53050.579999999994</v>
      </c>
    </row>
    <row r="570" spans="1:12">
      <c r="A570" t="s">
        <v>596</v>
      </c>
      <c r="B570" t="s">
        <v>38</v>
      </c>
      <c r="C570" s="1">
        <v>45014</v>
      </c>
      <c r="D570" s="1">
        <v>45031</v>
      </c>
      <c r="E570" t="s">
        <v>40</v>
      </c>
      <c r="F570" t="s">
        <v>19</v>
      </c>
      <c r="G570">
        <v>926</v>
      </c>
      <c r="H570" s="3">
        <v>15.65</v>
      </c>
      <c r="I570">
        <v>13.49</v>
      </c>
      <c r="J570">
        <v>94</v>
      </c>
      <c r="K570" t="s">
        <v>27</v>
      </c>
      <c r="L570" s="3">
        <f t="shared" si="8"/>
        <v>12491.74</v>
      </c>
    </row>
    <row r="571" spans="1:12">
      <c r="A571" t="s">
        <v>597</v>
      </c>
      <c r="B571" t="s">
        <v>18</v>
      </c>
      <c r="C571" s="1">
        <v>45014</v>
      </c>
      <c r="D571" s="1">
        <v>45025</v>
      </c>
      <c r="E571" t="s">
        <v>40</v>
      </c>
      <c r="F571" t="s">
        <v>15</v>
      </c>
      <c r="G571" s="2">
        <v>1041</v>
      </c>
      <c r="H571" s="3">
        <v>58.5</v>
      </c>
      <c r="I571">
        <v>52.54</v>
      </c>
      <c r="J571">
        <v>170</v>
      </c>
      <c r="K571" t="s">
        <v>27</v>
      </c>
      <c r="L571" s="3">
        <f t="shared" si="8"/>
        <v>54694.14</v>
      </c>
    </row>
    <row r="572" spans="1:12">
      <c r="A572" t="s">
        <v>598</v>
      </c>
      <c r="B572" t="s">
        <v>21</v>
      </c>
      <c r="C572" s="1">
        <v>45253</v>
      </c>
      <c r="D572" s="1">
        <v>45261</v>
      </c>
      <c r="E572" t="s">
        <v>40</v>
      </c>
      <c r="F572" t="s">
        <v>35</v>
      </c>
      <c r="G572">
        <v>933</v>
      </c>
      <c r="H572" s="3">
        <v>70.72</v>
      </c>
      <c r="I572">
        <v>65.47</v>
      </c>
      <c r="J572">
        <v>42</v>
      </c>
      <c r="K572" t="s">
        <v>16</v>
      </c>
      <c r="L572" s="3">
        <f t="shared" si="8"/>
        <v>61083.51</v>
      </c>
    </row>
    <row r="573" spans="1:12">
      <c r="A573" t="s">
        <v>599</v>
      </c>
      <c r="B573" t="s">
        <v>18</v>
      </c>
      <c r="C573" s="1">
        <v>44780</v>
      </c>
      <c r="E573" t="s">
        <v>26</v>
      </c>
      <c r="F573" t="s">
        <v>19</v>
      </c>
      <c r="G573" s="2">
        <v>1423</v>
      </c>
      <c r="H573" s="3">
        <v>41.48</v>
      </c>
      <c r="I573">
        <v>40.9</v>
      </c>
      <c r="J573">
        <v>199</v>
      </c>
      <c r="K573" t="s">
        <v>16</v>
      </c>
      <c r="L573" s="3">
        <f t="shared" si="8"/>
        <v>58200.7</v>
      </c>
    </row>
    <row r="574" spans="1:12">
      <c r="A574" t="s">
        <v>600</v>
      </c>
      <c r="B574" t="s">
        <v>18</v>
      </c>
      <c r="C574" s="1">
        <v>45085</v>
      </c>
      <c r="D574" s="1">
        <v>45091</v>
      </c>
      <c r="E574" t="s">
        <v>22</v>
      </c>
      <c r="F574" t="s">
        <v>19</v>
      </c>
      <c r="G574">
        <v>96</v>
      </c>
      <c r="H574" s="3">
        <v>86.13</v>
      </c>
      <c r="I574">
        <v>80.319999999999993</v>
      </c>
      <c r="J574">
        <v>12</v>
      </c>
      <c r="K574" t="s">
        <v>27</v>
      </c>
      <c r="L574" s="3">
        <f t="shared" si="8"/>
        <v>7710.7199999999993</v>
      </c>
    </row>
    <row r="575" spans="1:12">
      <c r="A575" t="s">
        <v>601</v>
      </c>
      <c r="B575" t="s">
        <v>29</v>
      </c>
      <c r="C575" s="1">
        <v>45046</v>
      </c>
      <c r="D575" s="1">
        <v>45059</v>
      </c>
      <c r="E575" t="s">
        <v>22</v>
      </c>
      <c r="F575" t="s">
        <v>19</v>
      </c>
      <c r="G575">
        <v>916</v>
      </c>
      <c r="H575" s="3">
        <v>21.06</v>
      </c>
      <c r="I575">
        <v>19.53</v>
      </c>
      <c r="J575">
        <v>25</v>
      </c>
      <c r="K575" t="s">
        <v>16</v>
      </c>
      <c r="L575" s="3">
        <f t="shared" si="8"/>
        <v>17889.48</v>
      </c>
    </row>
    <row r="576" spans="1:12">
      <c r="A576" t="s">
        <v>602</v>
      </c>
      <c r="B576" t="s">
        <v>29</v>
      </c>
      <c r="C576" s="1">
        <v>44735</v>
      </c>
      <c r="E576" t="s">
        <v>26</v>
      </c>
      <c r="F576" t="s">
        <v>19</v>
      </c>
      <c r="G576">
        <v>872</v>
      </c>
      <c r="H576" s="3">
        <v>17.18</v>
      </c>
      <c r="I576">
        <v>16.63</v>
      </c>
      <c r="J576">
        <v>20</v>
      </c>
      <c r="K576" t="s">
        <v>16</v>
      </c>
      <c r="L576" s="3">
        <f t="shared" si="8"/>
        <v>14501.359999999999</v>
      </c>
    </row>
    <row r="577" spans="1:12">
      <c r="A577" t="s">
        <v>603</v>
      </c>
      <c r="B577" t="s">
        <v>38</v>
      </c>
      <c r="C577" s="1">
        <v>45236</v>
      </c>
      <c r="D577" s="1">
        <v>45245</v>
      </c>
      <c r="E577" t="s">
        <v>40</v>
      </c>
      <c r="F577" t="s">
        <v>19</v>
      </c>
      <c r="G577">
        <v>985</v>
      </c>
      <c r="H577" s="3">
        <v>83.85</v>
      </c>
      <c r="I577">
        <v>80.88</v>
      </c>
      <c r="K577" t="s">
        <v>27</v>
      </c>
      <c r="L577" s="3">
        <f t="shared" si="8"/>
        <v>79666.799999999988</v>
      </c>
    </row>
    <row r="578" spans="1:12">
      <c r="A578" t="s">
        <v>604</v>
      </c>
      <c r="B578" t="s">
        <v>21</v>
      </c>
      <c r="C578" s="1">
        <v>44648</v>
      </c>
      <c r="D578" s="1">
        <v>44655</v>
      </c>
      <c r="E578" t="s">
        <v>26</v>
      </c>
      <c r="F578" t="s">
        <v>19</v>
      </c>
      <c r="G578" s="2">
        <v>1893</v>
      </c>
      <c r="H578" s="3">
        <v>55.14</v>
      </c>
      <c r="I578">
        <v>50.1</v>
      </c>
      <c r="J578">
        <v>98</v>
      </c>
      <c r="K578" t="s">
        <v>16</v>
      </c>
      <c r="L578" s="3">
        <f t="shared" si="8"/>
        <v>94839.3</v>
      </c>
    </row>
    <row r="579" spans="1:12">
      <c r="A579" t="s">
        <v>605</v>
      </c>
      <c r="B579" t="s">
        <v>13</v>
      </c>
      <c r="C579" s="1">
        <v>44852</v>
      </c>
      <c r="E579" t="s">
        <v>22</v>
      </c>
      <c r="F579" t="s">
        <v>19</v>
      </c>
      <c r="G579">
        <v>705</v>
      </c>
      <c r="H579" s="3">
        <v>75.19</v>
      </c>
      <c r="I579">
        <v>69.55</v>
      </c>
      <c r="J579">
        <v>19</v>
      </c>
      <c r="K579" t="s">
        <v>16</v>
      </c>
      <c r="L579" s="3">
        <f t="shared" ref="L579:L642" si="9">I579*G579</f>
        <v>49032.75</v>
      </c>
    </row>
    <row r="580" spans="1:12">
      <c r="A580" t="s">
        <v>606</v>
      </c>
      <c r="B580" t="s">
        <v>18</v>
      </c>
      <c r="C580" s="1">
        <v>45089</v>
      </c>
      <c r="D580" s="1">
        <v>45105</v>
      </c>
      <c r="E580" t="s">
        <v>22</v>
      </c>
      <c r="F580" t="s">
        <v>19</v>
      </c>
      <c r="G580">
        <v>318</v>
      </c>
      <c r="H580" s="3">
        <v>53.31</v>
      </c>
      <c r="I580">
        <v>51.78</v>
      </c>
      <c r="K580" t="s">
        <v>27</v>
      </c>
      <c r="L580" s="3">
        <f t="shared" si="9"/>
        <v>16466.04</v>
      </c>
    </row>
    <row r="581" spans="1:12">
      <c r="A581" t="s">
        <v>607</v>
      </c>
      <c r="B581" t="s">
        <v>13</v>
      </c>
      <c r="C581" s="1">
        <v>45241</v>
      </c>
      <c r="D581" s="1">
        <v>45246</v>
      </c>
      <c r="E581" t="s">
        <v>14</v>
      </c>
      <c r="F581" t="s">
        <v>35</v>
      </c>
      <c r="G581">
        <v>419</v>
      </c>
      <c r="H581" s="3">
        <v>35.72</v>
      </c>
      <c r="I581">
        <v>32.74</v>
      </c>
      <c r="J581">
        <v>7</v>
      </c>
      <c r="K581" t="s">
        <v>16</v>
      </c>
      <c r="L581" s="3">
        <f t="shared" si="9"/>
        <v>13718.060000000001</v>
      </c>
    </row>
    <row r="582" spans="1:12">
      <c r="A582" t="s">
        <v>608</v>
      </c>
      <c r="B582" t="s">
        <v>21</v>
      </c>
      <c r="C582" s="1">
        <v>45210</v>
      </c>
      <c r="D582" s="1">
        <v>45225</v>
      </c>
      <c r="E582" t="s">
        <v>22</v>
      </c>
      <c r="F582" t="s">
        <v>19</v>
      </c>
      <c r="G582">
        <v>685</v>
      </c>
      <c r="H582" s="3">
        <v>92.51</v>
      </c>
      <c r="I582">
        <v>90.05</v>
      </c>
      <c r="J582">
        <v>38</v>
      </c>
      <c r="K582" t="s">
        <v>16</v>
      </c>
      <c r="L582" s="3">
        <f t="shared" si="9"/>
        <v>61684.25</v>
      </c>
    </row>
    <row r="583" spans="1:12">
      <c r="A583" t="s">
        <v>609</v>
      </c>
      <c r="B583" t="s">
        <v>18</v>
      </c>
      <c r="C583" s="1">
        <v>45196</v>
      </c>
      <c r="D583" s="1">
        <v>45211</v>
      </c>
      <c r="E583" t="s">
        <v>14</v>
      </c>
      <c r="F583" t="s">
        <v>33</v>
      </c>
      <c r="G583" s="2">
        <v>1179</v>
      </c>
      <c r="H583" s="3">
        <v>90.14</v>
      </c>
      <c r="I583">
        <v>82.63</v>
      </c>
      <c r="J583">
        <v>194</v>
      </c>
      <c r="K583" t="s">
        <v>16</v>
      </c>
      <c r="L583" s="3">
        <f t="shared" si="9"/>
        <v>97420.76999999999</v>
      </c>
    </row>
    <row r="584" spans="1:12">
      <c r="A584" t="s">
        <v>610</v>
      </c>
      <c r="B584" t="s">
        <v>13</v>
      </c>
      <c r="C584" s="1">
        <v>44905</v>
      </c>
      <c r="E584" t="s">
        <v>26</v>
      </c>
      <c r="F584" t="s">
        <v>19</v>
      </c>
      <c r="G584" s="2">
        <v>1743</v>
      </c>
      <c r="H584" s="3">
        <v>76.510000000000005</v>
      </c>
      <c r="I584">
        <v>65.88</v>
      </c>
      <c r="J584">
        <v>40</v>
      </c>
      <c r="K584" t="s">
        <v>16</v>
      </c>
      <c r="L584" s="3">
        <f t="shared" si="9"/>
        <v>114828.84</v>
      </c>
    </row>
    <row r="585" spans="1:12">
      <c r="A585" t="s">
        <v>611</v>
      </c>
      <c r="B585" t="s">
        <v>13</v>
      </c>
      <c r="C585" s="1">
        <v>44657</v>
      </c>
      <c r="D585" s="1">
        <v>44668</v>
      </c>
      <c r="E585" t="s">
        <v>22</v>
      </c>
      <c r="F585" t="s">
        <v>19</v>
      </c>
      <c r="G585" s="2">
        <v>1732</v>
      </c>
      <c r="H585" s="3">
        <v>35.01</v>
      </c>
      <c r="I585">
        <v>34.18</v>
      </c>
      <c r="J585">
        <v>40</v>
      </c>
      <c r="K585" t="s">
        <v>16</v>
      </c>
      <c r="L585" s="3">
        <f t="shared" si="9"/>
        <v>59199.76</v>
      </c>
    </row>
    <row r="586" spans="1:12">
      <c r="A586" t="s">
        <v>612</v>
      </c>
      <c r="B586" t="s">
        <v>38</v>
      </c>
      <c r="C586" s="1">
        <v>44802</v>
      </c>
      <c r="D586" s="1">
        <v>44805</v>
      </c>
      <c r="E586" t="s">
        <v>14</v>
      </c>
      <c r="F586" t="s">
        <v>19</v>
      </c>
      <c r="G586">
        <v>706</v>
      </c>
      <c r="H586" s="3">
        <v>65.33</v>
      </c>
      <c r="I586">
        <v>62.06</v>
      </c>
      <c r="J586">
        <v>60</v>
      </c>
      <c r="K586" t="s">
        <v>27</v>
      </c>
      <c r="L586" s="3">
        <f t="shared" si="9"/>
        <v>43814.36</v>
      </c>
    </row>
    <row r="587" spans="1:12">
      <c r="A587" t="s">
        <v>613</v>
      </c>
      <c r="B587" t="s">
        <v>21</v>
      </c>
      <c r="C587" s="1">
        <v>45250</v>
      </c>
      <c r="D587" s="1">
        <v>45260</v>
      </c>
      <c r="E587" t="s">
        <v>22</v>
      </c>
      <c r="F587" t="s">
        <v>15</v>
      </c>
      <c r="G587">
        <v>169</v>
      </c>
      <c r="H587" s="3">
        <v>47.16</v>
      </c>
      <c r="I587">
        <v>43.4</v>
      </c>
      <c r="K587" t="s">
        <v>16</v>
      </c>
      <c r="L587" s="3">
        <f t="shared" si="9"/>
        <v>7334.5999999999995</v>
      </c>
    </row>
    <row r="588" spans="1:12">
      <c r="A588" t="s">
        <v>614</v>
      </c>
      <c r="B588" t="s">
        <v>21</v>
      </c>
      <c r="C588" s="1">
        <v>44879</v>
      </c>
      <c r="D588" s="1">
        <v>44885</v>
      </c>
      <c r="E588" t="s">
        <v>14</v>
      </c>
      <c r="F588" t="s">
        <v>35</v>
      </c>
      <c r="G588">
        <v>880</v>
      </c>
      <c r="H588" s="3">
        <v>19.149999999999999</v>
      </c>
      <c r="I588">
        <v>18.690000000000001</v>
      </c>
      <c r="K588" t="s">
        <v>27</v>
      </c>
      <c r="L588" s="3">
        <f t="shared" si="9"/>
        <v>16447.2</v>
      </c>
    </row>
    <row r="589" spans="1:12">
      <c r="A589" t="s">
        <v>615</v>
      </c>
      <c r="B589" t="s">
        <v>21</v>
      </c>
      <c r="C589" s="1">
        <v>44792</v>
      </c>
      <c r="D589" s="1">
        <v>44798</v>
      </c>
      <c r="E589" t="s">
        <v>22</v>
      </c>
      <c r="F589" t="s">
        <v>19</v>
      </c>
      <c r="G589" s="2">
        <v>1860</v>
      </c>
      <c r="H589" s="3">
        <v>95.8</v>
      </c>
      <c r="I589">
        <v>92.17</v>
      </c>
      <c r="J589">
        <v>105</v>
      </c>
      <c r="K589" t="s">
        <v>27</v>
      </c>
      <c r="L589" s="3">
        <f t="shared" si="9"/>
        <v>171436.2</v>
      </c>
    </row>
    <row r="590" spans="1:12">
      <c r="A590" t="s">
        <v>616</v>
      </c>
      <c r="B590" t="s">
        <v>18</v>
      </c>
      <c r="C590" s="1">
        <v>44765</v>
      </c>
      <c r="D590" s="1">
        <v>44782</v>
      </c>
      <c r="E590" t="s">
        <v>22</v>
      </c>
      <c r="F590" t="s">
        <v>19</v>
      </c>
      <c r="G590" s="2">
        <v>1677</v>
      </c>
      <c r="H590" s="3">
        <v>22.98</v>
      </c>
      <c r="I590">
        <v>21.71</v>
      </c>
      <c r="J590">
        <v>246</v>
      </c>
      <c r="K590" t="s">
        <v>16</v>
      </c>
      <c r="L590" s="3">
        <f t="shared" si="9"/>
        <v>36407.67</v>
      </c>
    </row>
    <row r="591" spans="1:12">
      <c r="A591" t="s">
        <v>617</v>
      </c>
      <c r="B591" t="s">
        <v>38</v>
      </c>
      <c r="C591" s="1">
        <v>44712</v>
      </c>
      <c r="D591" s="1">
        <v>44719</v>
      </c>
      <c r="E591" t="s">
        <v>24</v>
      </c>
      <c r="F591" t="s">
        <v>33</v>
      </c>
      <c r="G591" s="2">
        <v>1131</v>
      </c>
      <c r="H591" s="3">
        <v>97.43</v>
      </c>
      <c r="I591">
        <v>91.28</v>
      </c>
      <c r="J591">
        <v>103</v>
      </c>
      <c r="K591" t="s">
        <v>16</v>
      </c>
      <c r="L591" s="3">
        <f t="shared" si="9"/>
        <v>103237.68000000001</v>
      </c>
    </row>
    <row r="592" spans="1:12">
      <c r="A592" t="s">
        <v>618</v>
      </c>
      <c r="B592" t="s">
        <v>29</v>
      </c>
      <c r="C592" s="1">
        <v>44587</v>
      </c>
      <c r="D592" s="1">
        <v>44595</v>
      </c>
      <c r="E592" t="s">
        <v>26</v>
      </c>
      <c r="F592" t="s">
        <v>15</v>
      </c>
      <c r="G592" s="2">
        <v>1419</v>
      </c>
      <c r="H592" s="3">
        <v>50.14</v>
      </c>
      <c r="I592">
        <v>43.46</v>
      </c>
      <c r="K592" t="s">
        <v>16</v>
      </c>
      <c r="L592" s="3">
        <f t="shared" si="9"/>
        <v>61669.74</v>
      </c>
    </row>
    <row r="593" spans="1:12">
      <c r="A593" t="s">
        <v>619</v>
      </c>
      <c r="B593" t="s">
        <v>18</v>
      </c>
      <c r="C593" s="1">
        <v>44609</v>
      </c>
      <c r="D593" s="1">
        <v>44610</v>
      </c>
      <c r="E593" t="s">
        <v>26</v>
      </c>
      <c r="F593" t="s">
        <v>35</v>
      </c>
      <c r="G593">
        <v>790</v>
      </c>
      <c r="H593" s="3">
        <v>26.8</v>
      </c>
      <c r="I593">
        <v>25.62</v>
      </c>
      <c r="J593">
        <v>115</v>
      </c>
      <c r="K593" t="s">
        <v>16</v>
      </c>
      <c r="L593" s="3">
        <f t="shared" si="9"/>
        <v>20239.8</v>
      </c>
    </row>
    <row r="594" spans="1:12">
      <c r="A594" t="s">
        <v>620</v>
      </c>
      <c r="B594" t="s">
        <v>21</v>
      </c>
      <c r="C594" s="1">
        <v>44812</v>
      </c>
      <c r="D594" s="1">
        <v>44831</v>
      </c>
      <c r="E594" t="s">
        <v>22</v>
      </c>
      <c r="F594" t="s">
        <v>35</v>
      </c>
      <c r="G594" s="2">
        <v>1547</v>
      </c>
      <c r="H594" s="3">
        <v>61.12</v>
      </c>
      <c r="I594">
        <v>53.43</v>
      </c>
      <c r="J594">
        <v>77</v>
      </c>
      <c r="K594" t="s">
        <v>16</v>
      </c>
      <c r="L594" s="3">
        <f t="shared" si="9"/>
        <v>82656.210000000006</v>
      </c>
    </row>
    <row r="595" spans="1:12">
      <c r="A595" t="s">
        <v>621</v>
      </c>
      <c r="B595" t="s">
        <v>18</v>
      </c>
      <c r="C595" s="1">
        <v>45048</v>
      </c>
      <c r="D595" s="1">
        <v>45066</v>
      </c>
      <c r="E595" t="s">
        <v>14</v>
      </c>
      <c r="F595" t="s">
        <v>15</v>
      </c>
      <c r="G595">
        <v>166</v>
      </c>
      <c r="H595" s="3">
        <v>95.65</v>
      </c>
      <c r="I595">
        <v>94.48</v>
      </c>
      <c r="J595">
        <v>23</v>
      </c>
      <c r="K595" t="s">
        <v>16</v>
      </c>
      <c r="L595" s="3">
        <f t="shared" si="9"/>
        <v>15683.68</v>
      </c>
    </row>
    <row r="596" spans="1:12">
      <c r="A596" t="s">
        <v>622</v>
      </c>
      <c r="B596" t="s">
        <v>13</v>
      </c>
      <c r="C596" s="1">
        <v>45187</v>
      </c>
      <c r="D596" s="1">
        <v>45190</v>
      </c>
      <c r="E596" t="s">
        <v>40</v>
      </c>
      <c r="F596" t="s">
        <v>19</v>
      </c>
      <c r="G596" s="2">
        <v>1903</v>
      </c>
      <c r="H596" s="3">
        <v>83.49</v>
      </c>
      <c r="I596">
        <v>82.33</v>
      </c>
      <c r="J596">
        <v>43</v>
      </c>
      <c r="K596" t="s">
        <v>16</v>
      </c>
      <c r="L596" s="3">
        <f t="shared" si="9"/>
        <v>156673.99</v>
      </c>
    </row>
    <row r="597" spans="1:12">
      <c r="A597" t="s">
        <v>623</v>
      </c>
      <c r="B597" t="s">
        <v>18</v>
      </c>
      <c r="C597" s="1">
        <v>44636</v>
      </c>
      <c r="D597" s="1">
        <v>44649</v>
      </c>
      <c r="E597" t="s">
        <v>14</v>
      </c>
      <c r="F597" t="s">
        <v>33</v>
      </c>
      <c r="G597">
        <v>840</v>
      </c>
      <c r="H597" s="3">
        <v>83.42</v>
      </c>
      <c r="I597">
        <v>80.349999999999994</v>
      </c>
      <c r="J597">
        <v>153</v>
      </c>
      <c r="K597" t="s">
        <v>16</v>
      </c>
      <c r="L597" s="3">
        <f t="shared" si="9"/>
        <v>67494</v>
      </c>
    </row>
    <row r="598" spans="1:12">
      <c r="A598" t="s">
        <v>624</v>
      </c>
      <c r="B598" t="s">
        <v>18</v>
      </c>
      <c r="C598" s="1">
        <v>45028</v>
      </c>
      <c r="E598" t="s">
        <v>22</v>
      </c>
      <c r="F598" t="s">
        <v>19</v>
      </c>
      <c r="G598" s="2">
        <v>1200</v>
      </c>
      <c r="H598" s="3">
        <v>74.489999999999995</v>
      </c>
      <c r="I598">
        <v>64.63</v>
      </c>
      <c r="J598">
        <v>161</v>
      </c>
      <c r="K598" t="s">
        <v>16</v>
      </c>
      <c r="L598" s="3">
        <f t="shared" si="9"/>
        <v>77556</v>
      </c>
    </row>
    <row r="599" spans="1:12">
      <c r="A599" t="s">
        <v>625</v>
      </c>
      <c r="B599" t="s">
        <v>21</v>
      </c>
      <c r="C599" s="1">
        <v>44986</v>
      </c>
      <c r="D599" s="1">
        <v>45003</v>
      </c>
      <c r="E599" t="s">
        <v>26</v>
      </c>
      <c r="F599" t="s">
        <v>19</v>
      </c>
      <c r="G599" s="2">
        <v>1466</v>
      </c>
      <c r="H599" s="3">
        <v>77.37</v>
      </c>
      <c r="I599">
        <v>70.349999999999994</v>
      </c>
      <c r="J599">
        <v>72</v>
      </c>
      <c r="K599" t="s">
        <v>16</v>
      </c>
      <c r="L599" s="3">
        <f t="shared" si="9"/>
        <v>103133.09999999999</v>
      </c>
    </row>
    <row r="600" spans="1:12">
      <c r="A600" t="s">
        <v>626</v>
      </c>
      <c r="B600" t="s">
        <v>13</v>
      </c>
      <c r="C600" s="1">
        <v>45206</v>
      </c>
      <c r="D600" s="1">
        <v>45220</v>
      </c>
      <c r="E600" t="s">
        <v>14</v>
      </c>
      <c r="F600" t="s">
        <v>19</v>
      </c>
      <c r="G600" s="2">
        <v>1981</v>
      </c>
      <c r="H600" s="3">
        <v>95.5</v>
      </c>
      <c r="I600">
        <v>94.39</v>
      </c>
      <c r="J600">
        <v>49</v>
      </c>
      <c r="K600" t="s">
        <v>16</v>
      </c>
      <c r="L600" s="3">
        <f t="shared" si="9"/>
        <v>186986.59</v>
      </c>
    </row>
    <row r="601" spans="1:12">
      <c r="A601" t="s">
        <v>627</v>
      </c>
      <c r="B601" t="s">
        <v>21</v>
      </c>
      <c r="C601" s="1">
        <v>45151</v>
      </c>
      <c r="D601" s="1">
        <v>45154</v>
      </c>
      <c r="E601" t="s">
        <v>24</v>
      </c>
      <c r="F601" t="s">
        <v>19</v>
      </c>
      <c r="G601" s="2">
        <v>1062</v>
      </c>
      <c r="H601" s="3">
        <v>35.549999999999997</v>
      </c>
      <c r="I601">
        <v>32.380000000000003</v>
      </c>
      <c r="K601" t="s">
        <v>16</v>
      </c>
      <c r="L601" s="3">
        <f t="shared" si="9"/>
        <v>34387.560000000005</v>
      </c>
    </row>
    <row r="602" spans="1:12">
      <c r="A602" t="s">
        <v>628</v>
      </c>
      <c r="B602" t="s">
        <v>13</v>
      </c>
      <c r="C602" s="1">
        <v>44761</v>
      </c>
      <c r="D602" s="1">
        <v>44772</v>
      </c>
      <c r="E602" t="s">
        <v>22</v>
      </c>
      <c r="F602" t="s">
        <v>19</v>
      </c>
      <c r="G602" s="2">
        <v>1714</v>
      </c>
      <c r="H602" s="3">
        <v>55.67</v>
      </c>
      <c r="I602">
        <v>55.09</v>
      </c>
      <c r="J602">
        <v>42</v>
      </c>
      <c r="K602" t="s">
        <v>16</v>
      </c>
      <c r="L602" s="3">
        <f t="shared" si="9"/>
        <v>94424.260000000009</v>
      </c>
    </row>
    <row r="603" spans="1:12">
      <c r="A603" t="s">
        <v>629</v>
      </c>
      <c r="B603" t="s">
        <v>13</v>
      </c>
      <c r="C603" s="1">
        <v>45275</v>
      </c>
      <c r="D603" s="1">
        <v>45290</v>
      </c>
      <c r="E603" t="s">
        <v>14</v>
      </c>
      <c r="F603" t="s">
        <v>19</v>
      </c>
      <c r="G603" s="2">
        <v>1131</v>
      </c>
      <c r="H603" s="3">
        <v>33.35</v>
      </c>
      <c r="I603">
        <v>31.28</v>
      </c>
      <c r="J603">
        <v>23</v>
      </c>
      <c r="K603" t="s">
        <v>16</v>
      </c>
      <c r="L603" s="3">
        <f t="shared" si="9"/>
        <v>35377.68</v>
      </c>
    </row>
    <row r="604" spans="1:12">
      <c r="A604" t="s">
        <v>630</v>
      </c>
      <c r="B604" t="s">
        <v>13</v>
      </c>
      <c r="C604" s="1">
        <v>44955</v>
      </c>
      <c r="D604" s="1">
        <v>44972</v>
      </c>
      <c r="E604" t="s">
        <v>14</v>
      </c>
      <c r="F604" t="s">
        <v>19</v>
      </c>
      <c r="G604">
        <v>683</v>
      </c>
      <c r="H604" s="3">
        <v>104.82</v>
      </c>
      <c r="I604">
        <v>101.34</v>
      </c>
      <c r="K604" t="s">
        <v>16</v>
      </c>
      <c r="L604" s="3">
        <f t="shared" si="9"/>
        <v>69215.22</v>
      </c>
    </row>
    <row r="605" spans="1:12">
      <c r="A605" t="s">
        <v>631</v>
      </c>
      <c r="B605" t="s">
        <v>21</v>
      </c>
      <c r="C605" s="1">
        <v>45068</v>
      </c>
      <c r="D605" s="1">
        <v>45086</v>
      </c>
      <c r="E605" t="s">
        <v>24</v>
      </c>
      <c r="F605" t="s">
        <v>33</v>
      </c>
      <c r="G605">
        <v>562</v>
      </c>
      <c r="H605" s="3">
        <v>102.56</v>
      </c>
      <c r="I605">
        <v>90.88</v>
      </c>
      <c r="J605">
        <v>38</v>
      </c>
      <c r="K605" t="s">
        <v>16</v>
      </c>
      <c r="L605" s="3">
        <f t="shared" si="9"/>
        <v>51074.559999999998</v>
      </c>
    </row>
    <row r="606" spans="1:12">
      <c r="A606" t="s">
        <v>632</v>
      </c>
      <c r="B606" t="s">
        <v>13</v>
      </c>
      <c r="C606" s="1">
        <v>44971</v>
      </c>
      <c r="D606" s="1">
        <v>44977</v>
      </c>
      <c r="E606" t="s">
        <v>40</v>
      </c>
      <c r="F606" t="s">
        <v>19</v>
      </c>
      <c r="G606" s="2">
        <v>1824</v>
      </c>
      <c r="H606" s="3">
        <v>14.43</v>
      </c>
      <c r="I606">
        <v>14.11</v>
      </c>
      <c r="J606">
        <v>36</v>
      </c>
      <c r="K606" t="s">
        <v>16</v>
      </c>
      <c r="L606" s="3">
        <f t="shared" si="9"/>
        <v>25736.639999999999</v>
      </c>
    </row>
    <row r="607" spans="1:12">
      <c r="A607" t="s">
        <v>633</v>
      </c>
      <c r="B607" t="s">
        <v>38</v>
      </c>
      <c r="C607" s="1">
        <v>44811</v>
      </c>
      <c r="D607" s="1">
        <v>44816</v>
      </c>
      <c r="E607" t="s">
        <v>40</v>
      </c>
      <c r="F607" t="s">
        <v>33</v>
      </c>
      <c r="G607">
        <v>851</v>
      </c>
      <c r="H607" s="3">
        <v>76.44</v>
      </c>
      <c r="I607">
        <v>74.760000000000005</v>
      </c>
      <c r="J607">
        <v>91</v>
      </c>
      <c r="K607" t="s">
        <v>16</v>
      </c>
      <c r="L607" s="3">
        <f t="shared" si="9"/>
        <v>63620.76</v>
      </c>
    </row>
    <row r="608" spans="1:12">
      <c r="A608" t="s">
        <v>634</v>
      </c>
      <c r="B608" t="s">
        <v>38</v>
      </c>
      <c r="C608" s="1">
        <v>44713</v>
      </c>
      <c r="D608" s="1">
        <v>44715</v>
      </c>
      <c r="E608" t="s">
        <v>14</v>
      </c>
      <c r="F608" t="s">
        <v>19</v>
      </c>
      <c r="G608" s="2">
        <v>1169</v>
      </c>
      <c r="H608" s="3">
        <v>95.6</v>
      </c>
      <c r="I608">
        <v>82.16</v>
      </c>
      <c r="J608">
        <v>103</v>
      </c>
      <c r="K608" t="s">
        <v>16</v>
      </c>
      <c r="L608" s="3">
        <f t="shared" si="9"/>
        <v>96045.04</v>
      </c>
    </row>
    <row r="609" spans="1:12">
      <c r="A609" t="s">
        <v>635</v>
      </c>
      <c r="B609" t="s">
        <v>29</v>
      </c>
      <c r="C609" s="1">
        <v>45233</v>
      </c>
      <c r="D609" s="1">
        <v>45250</v>
      </c>
      <c r="E609" t="s">
        <v>22</v>
      </c>
      <c r="F609" t="s">
        <v>19</v>
      </c>
      <c r="G609" s="2">
        <v>1711</v>
      </c>
      <c r="H609" s="3">
        <v>29.14</v>
      </c>
      <c r="I609">
        <v>26.35</v>
      </c>
      <c r="J609">
        <v>48</v>
      </c>
      <c r="K609" t="s">
        <v>16</v>
      </c>
      <c r="L609" s="3">
        <f t="shared" si="9"/>
        <v>45084.850000000006</v>
      </c>
    </row>
    <row r="610" spans="1:12">
      <c r="A610" t="s">
        <v>636</v>
      </c>
      <c r="B610" t="s">
        <v>38</v>
      </c>
      <c r="C610" s="1">
        <v>45266</v>
      </c>
      <c r="D610" s="1">
        <v>45272</v>
      </c>
      <c r="E610" t="s">
        <v>24</v>
      </c>
      <c r="F610" t="s">
        <v>35</v>
      </c>
      <c r="G610" s="2">
        <v>1191</v>
      </c>
      <c r="H610" s="3">
        <v>68.14</v>
      </c>
      <c r="I610">
        <v>61.71</v>
      </c>
      <c r="J610">
        <v>112</v>
      </c>
      <c r="K610" t="s">
        <v>16</v>
      </c>
      <c r="L610" s="3">
        <f t="shared" si="9"/>
        <v>73496.61</v>
      </c>
    </row>
    <row r="611" spans="1:12">
      <c r="A611" t="s">
        <v>637</v>
      </c>
      <c r="B611" t="s">
        <v>29</v>
      </c>
      <c r="C611" s="1">
        <v>44567</v>
      </c>
      <c r="D611" s="1">
        <v>44575</v>
      </c>
      <c r="E611" t="s">
        <v>40</v>
      </c>
      <c r="F611" t="s">
        <v>19</v>
      </c>
      <c r="G611">
        <v>609</v>
      </c>
      <c r="H611" s="3">
        <v>92.39</v>
      </c>
      <c r="I611">
        <v>82.75</v>
      </c>
      <c r="J611">
        <v>29</v>
      </c>
      <c r="K611" t="s">
        <v>16</v>
      </c>
      <c r="L611" s="3">
        <f t="shared" si="9"/>
        <v>50394.75</v>
      </c>
    </row>
    <row r="612" spans="1:12">
      <c r="A612" t="s">
        <v>638</v>
      </c>
      <c r="B612" t="s">
        <v>38</v>
      </c>
      <c r="C612" s="1">
        <v>44671</v>
      </c>
      <c r="D612" s="1">
        <v>44688</v>
      </c>
      <c r="E612" t="s">
        <v>14</v>
      </c>
      <c r="F612" t="s">
        <v>19</v>
      </c>
      <c r="G612" s="2">
        <v>1674</v>
      </c>
      <c r="H612" s="3">
        <v>13.25</v>
      </c>
      <c r="I612">
        <v>11.77</v>
      </c>
      <c r="J612">
        <v>181</v>
      </c>
      <c r="K612" t="s">
        <v>16</v>
      </c>
      <c r="L612" s="3">
        <f t="shared" si="9"/>
        <v>19702.98</v>
      </c>
    </row>
    <row r="613" spans="1:12">
      <c r="A613" t="s">
        <v>639</v>
      </c>
      <c r="B613" t="s">
        <v>21</v>
      </c>
      <c r="C613" s="1">
        <v>44997</v>
      </c>
      <c r="D613" s="1">
        <v>45000</v>
      </c>
      <c r="E613" t="s">
        <v>22</v>
      </c>
      <c r="F613" t="s">
        <v>19</v>
      </c>
      <c r="G613">
        <v>537</v>
      </c>
      <c r="H613" s="3">
        <v>77.86</v>
      </c>
      <c r="I613">
        <v>71.180000000000007</v>
      </c>
      <c r="J613">
        <v>20</v>
      </c>
      <c r="K613" t="s">
        <v>16</v>
      </c>
      <c r="L613" s="3">
        <f t="shared" si="9"/>
        <v>38223.660000000003</v>
      </c>
    </row>
    <row r="614" spans="1:12">
      <c r="A614" t="s">
        <v>640</v>
      </c>
      <c r="B614" t="s">
        <v>29</v>
      </c>
      <c r="C614" s="1">
        <v>44786</v>
      </c>
      <c r="D614" s="1">
        <v>44804</v>
      </c>
      <c r="E614" t="s">
        <v>40</v>
      </c>
      <c r="F614" t="s">
        <v>19</v>
      </c>
      <c r="G614" s="2">
        <v>1310</v>
      </c>
      <c r="H614" s="3">
        <v>38.049999999999997</v>
      </c>
      <c r="I614">
        <v>37</v>
      </c>
      <c r="J614">
        <v>45</v>
      </c>
      <c r="K614" t="s">
        <v>16</v>
      </c>
      <c r="L614" s="3">
        <f t="shared" si="9"/>
        <v>48470</v>
      </c>
    </row>
    <row r="615" spans="1:12">
      <c r="A615" t="s">
        <v>641</v>
      </c>
      <c r="B615" t="s">
        <v>18</v>
      </c>
      <c r="C615" s="1">
        <v>44742</v>
      </c>
      <c r="D615" s="1">
        <v>44752</v>
      </c>
      <c r="E615" t="s">
        <v>26</v>
      </c>
      <c r="F615" t="s">
        <v>19</v>
      </c>
      <c r="G615" s="2">
        <v>1958</v>
      </c>
      <c r="H615" s="3">
        <v>95.53</v>
      </c>
      <c r="I615">
        <v>91.72</v>
      </c>
      <c r="J615">
        <v>308</v>
      </c>
      <c r="K615" t="s">
        <v>16</v>
      </c>
      <c r="L615" s="3">
        <f t="shared" si="9"/>
        <v>179587.76</v>
      </c>
    </row>
    <row r="616" spans="1:12">
      <c r="A616" t="s">
        <v>642</v>
      </c>
      <c r="B616" t="s">
        <v>18</v>
      </c>
      <c r="C616" s="1">
        <v>45274</v>
      </c>
      <c r="D616" s="1">
        <v>45277</v>
      </c>
      <c r="E616" t="s">
        <v>14</v>
      </c>
      <c r="F616" t="s">
        <v>19</v>
      </c>
      <c r="G616">
        <v>946</v>
      </c>
      <c r="H616" s="3">
        <v>108.6</v>
      </c>
      <c r="I616">
        <v>101.78</v>
      </c>
      <c r="J616">
        <v>146</v>
      </c>
      <c r="K616" t="s">
        <v>16</v>
      </c>
      <c r="L616" s="3">
        <f t="shared" si="9"/>
        <v>96283.88</v>
      </c>
    </row>
    <row r="617" spans="1:12">
      <c r="A617" t="s">
        <v>643</v>
      </c>
      <c r="B617" t="s">
        <v>38</v>
      </c>
      <c r="C617" s="1">
        <v>45092</v>
      </c>
      <c r="D617" s="1">
        <v>45098</v>
      </c>
      <c r="E617" t="s">
        <v>24</v>
      </c>
      <c r="F617" t="s">
        <v>33</v>
      </c>
      <c r="G617" s="2">
        <v>1345</v>
      </c>
      <c r="H617" s="3">
        <v>103.06</v>
      </c>
      <c r="I617">
        <v>95.14</v>
      </c>
      <c r="K617" t="s">
        <v>16</v>
      </c>
      <c r="L617" s="3">
        <f t="shared" si="9"/>
        <v>127963.3</v>
      </c>
    </row>
    <row r="618" spans="1:12">
      <c r="A618" t="s">
        <v>644</v>
      </c>
      <c r="B618" t="s">
        <v>18</v>
      </c>
      <c r="C618" s="1">
        <v>45037</v>
      </c>
      <c r="D618" s="1">
        <v>45056</v>
      </c>
      <c r="E618" t="s">
        <v>22</v>
      </c>
      <c r="F618" t="s">
        <v>19</v>
      </c>
      <c r="G618" s="2">
        <v>1262</v>
      </c>
      <c r="H618" s="3">
        <v>56.63</v>
      </c>
      <c r="I618">
        <v>51.46</v>
      </c>
      <c r="K618" t="s">
        <v>27</v>
      </c>
      <c r="L618" s="3">
        <f t="shared" si="9"/>
        <v>64942.520000000004</v>
      </c>
    </row>
    <row r="619" spans="1:12">
      <c r="A619" t="s">
        <v>645</v>
      </c>
      <c r="B619" t="s">
        <v>38</v>
      </c>
      <c r="C619" s="1">
        <v>44613</v>
      </c>
      <c r="D619" s="1">
        <v>44633</v>
      </c>
      <c r="E619" t="s">
        <v>14</v>
      </c>
      <c r="F619" t="s">
        <v>35</v>
      </c>
      <c r="G619">
        <v>753</v>
      </c>
      <c r="H619" s="3">
        <v>88.02</v>
      </c>
      <c r="I619">
        <v>79.92</v>
      </c>
      <c r="J619">
        <v>75</v>
      </c>
      <c r="K619" t="s">
        <v>16</v>
      </c>
      <c r="L619" s="3">
        <f t="shared" si="9"/>
        <v>60179.76</v>
      </c>
    </row>
    <row r="620" spans="1:12">
      <c r="A620" t="s">
        <v>646</v>
      </c>
      <c r="B620" t="s">
        <v>38</v>
      </c>
      <c r="C620" s="1">
        <v>45132</v>
      </c>
      <c r="D620" s="1">
        <v>45152</v>
      </c>
      <c r="E620" t="s">
        <v>40</v>
      </c>
      <c r="F620" t="s">
        <v>19</v>
      </c>
      <c r="G620" s="2">
        <v>1520</v>
      </c>
      <c r="H620" s="3">
        <v>93.75</v>
      </c>
      <c r="I620">
        <v>81.63</v>
      </c>
      <c r="J620">
        <v>149</v>
      </c>
      <c r="K620" t="s">
        <v>16</v>
      </c>
      <c r="L620" s="3">
        <f t="shared" si="9"/>
        <v>124077.59999999999</v>
      </c>
    </row>
    <row r="621" spans="1:12">
      <c r="A621" t="s">
        <v>647</v>
      </c>
      <c r="B621" t="s">
        <v>18</v>
      </c>
      <c r="C621" s="1">
        <v>44817</v>
      </c>
      <c r="D621" s="1">
        <v>44836</v>
      </c>
      <c r="E621" t="s">
        <v>14</v>
      </c>
      <c r="F621" t="s">
        <v>19</v>
      </c>
      <c r="G621">
        <v>630</v>
      </c>
      <c r="H621" s="3">
        <v>40.270000000000003</v>
      </c>
      <c r="I621">
        <v>37.54</v>
      </c>
      <c r="J621">
        <v>76</v>
      </c>
      <c r="K621" t="s">
        <v>16</v>
      </c>
      <c r="L621" s="3">
        <f t="shared" si="9"/>
        <v>23650.2</v>
      </c>
    </row>
    <row r="622" spans="1:12">
      <c r="A622" t="s">
        <v>648</v>
      </c>
      <c r="B622" t="s">
        <v>18</v>
      </c>
      <c r="C622" s="1">
        <v>44686</v>
      </c>
      <c r="D622" s="1">
        <v>44687</v>
      </c>
      <c r="E622" t="s">
        <v>14</v>
      </c>
      <c r="F622" t="s">
        <v>19</v>
      </c>
      <c r="G622">
        <v>839</v>
      </c>
      <c r="H622" s="3">
        <v>86.29</v>
      </c>
      <c r="I622">
        <v>82.51</v>
      </c>
      <c r="J622">
        <v>110</v>
      </c>
      <c r="K622" t="s">
        <v>16</v>
      </c>
      <c r="L622" s="3">
        <f t="shared" si="9"/>
        <v>69225.89</v>
      </c>
    </row>
    <row r="623" spans="1:12">
      <c r="A623" t="s">
        <v>649</v>
      </c>
      <c r="B623" t="s">
        <v>13</v>
      </c>
      <c r="C623" s="1">
        <v>45029</v>
      </c>
      <c r="D623" s="1">
        <v>45048</v>
      </c>
      <c r="E623" t="s">
        <v>40</v>
      </c>
      <c r="F623" t="s">
        <v>19</v>
      </c>
      <c r="G623">
        <v>910</v>
      </c>
      <c r="H623" s="3">
        <v>14.33</v>
      </c>
      <c r="I623">
        <v>14.07</v>
      </c>
      <c r="J623">
        <v>27</v>
      </c>
      <c r="K623" t="s">
        <v>16</v>
      </c>
      <c r="L623" s="3">
        <f t="shared" si="9"/>
        <v>12803.7</v>
      </c>
    </row>
    <row r="624" spans="1:12">
      <c r="A624" t="s">
        <v>650</v>
      </c>
      <c r="B624" t="s">
        <v>29</v>
      </c>
      <c r="C624" s="1">
        <v>44698</v>
      </c>
      <c r="D624" s="1">
        <v>44705</v>
      </c>
      <c r="E624" t="s">
        <v>26</v>
      </c>
      <c r="F624" t="s">
        <v>19</v>
      </c>
      <c r="G624">
        <v>296</v>
      </c>
      <c r="H624" s="3">
        <v>64.94</v>
      </c>
      <c r="I624">
        <v>63.61</v>
      </c>
      <c r="K624" t="s">
        <v>16</v>
      </c>
      <c r="L624" s="3">
        <f t="shared" si="9"/>
        <v>18828.560000000001</v>
      </c>
    </row>
    <row r="625" spans="1:12">
      <c r="A625" t="s">
        <v>651</v>
      </c>
      <c r="B625" t="s">
        <v>38</v>
      </c>
      <c r="C625" s="1">
        <v>45037</v>
      </c>
      <c r="D625" s="1">
        <v>45051</v>
      </c>
      <c r="E625" t="s">
        <v>22</v>
      </c>
      <c r="F625" t="s">
        <v>19</v>
      </c>
      <c r="G625" s="2">
        <v>1149</v>
      </c>
      <c r="H625" s="3">
        <v>33</v>
      </c>
      <c r="I625">
        <v>30.65</v>
      </c>
      <c r="J625">
        <v>141</v>
      </c>
      <c r="K625" t="s">
        <v>16</v>
      </c>
      <c r="L625" s="3">
        <f t="shared" si="9"/>
        <v>35216.85</v>
      </c>
    </row>
    <row r="626" spans="1:12">
      <c r="A626" t="s">
        <v>652</v>
      </c>
      <c r="B626" t="s">
        <v>18</v>
      </c>
      <c r="C626" s="1">
        <v>45245</v>
      </c>
      <c r="D626" s="1">
        <v>45246</v>
      </c>
      <c r="E626" t="s">
        <v>40</v>
      </c>
      <c r="F626" t="s">
        <v>19</v>
      </c>
      <c r="G626">
        <v>203</v>
      </c>
      <c r="H626" s="3">
        <v>23.14</v>
      </c>
      <c r="I626">
        <v>20</v>
      </c>
      <c r="K626" t="s">
        <v>27</v>
      </c>
      <c r="L626" s="3">
        <f t="shared" si="9"/>
        <v>4060</v>
      </c>
    </row>
    <row r="627" spans="1:12">
      <c r="A627" t="s">
        <v>653</v>
      </c>
      <c r="B627" t="s">
        <v>29</v>
      </c>
      <c r="C627" s="1">
        <v>45105</v>
      </c>
      <c r="D627" s="1">
        <v>45123</v>
      </c>
      <c r="E627" t="s">
        <v>14</v>
      </c>
      <c r="F627" t="s">
        <v>19</v>
      </c>
      <c r="G627" s="2">
        <v>1729</v>
      </c>
      <c r="H627" s="3">
        <v>18.36</v>
      </c>
      <c r="I627">
        <v>16.34</v>
      </c>
      <c r="J627">
        <v>47</v>
      </c>
      <c r="K627" t="s">
        <v>16</v>
      </c>
      <c r="L627" s="3">
        <f t="shared" si="9"/>
        <v>28251.86</v>
      </c>
    </row>
    <row r="628" spans="1:12">
      <c r="A628" t="s">
        <v>654</v>
      </c>
      <c r="B628" t="s">
        <v>18</v>
      </c>
      <c r="C628" s="1">
        <v>45134</v>
      </c>
      <c r="D628" s="1">
        <v>45144</v>
      </c>
      <c r="E628" t="s">
        <v>14</v>
      </c>
      <c r="F628" t="s">
        <v>19</v>
      </c>
      <c r="G628" s="2">
        <v>1508</v>
      </c>
      <c r="H628" s="3">
        <v>79.209999999999994</v>
      </c>
      <c r="I628">
        <v>73.27</v>
      </c>
      <c r="J628">
        <v>226</v>
      </c>
      <c r="K628" t="s">
        <v>16</v>
      </c>
      <c r="L628" s="3">
        <f t="shared" si="9"/>
        <v>110491.15999999999</v>
      </c>
    </row>
    <row r="629" spans="1:12">
      <c r="A629" t="s">
        <v>655</v>
      </c>
      <c r="B629" t="s">
        <v>18</v>
      </c>
      <c r="C629" s="1">
        <v>45171</v>
      </c>
      <c r="D629" s="1">
        <v>45184</v>
      </c>
      <c r="E629" t="s">
        <v>24</v>
      </c>
      <c r="F629" t="s">
        <v>33</v>
      </c>
      <c r="G629" s="2">
        <v>1046</v>
      </c>
      <c r="H629" s="3">
        <v>44.65</v>
      </c>
      <c r="I629">
        <v>40.1</v>
      </c>
      <c r="J629">
        <v>165</v>
      </c>
      <c r="K629" t="s">
        <v>27</v>
      </c>
      <c r="L629" s="3">
        <f t="shared" si="9"/>
        <v>41944.6</v>
      </c>
    </row>
    <row r="630" spans="1:12">
      <c r="A630" t="s">
        <v>656</v>
      </c>
      <c r="B630" t="s">
        <v>13</v>
      </c>
      <c r="C630" s="1">
        <v>44886</v>
      </c>
      <c r="D630" s="1">
        <v>44889</v>
      </c>
      <c r="E630" t="s">
        <v>14</v>
      </c>
      <c r="F630" t="s">
        <v>19</v>
      </c>
      <c r="G630" s="2">
        <v>1159</v>
      </c>
      <c r="H630" s="3">
        <v>78.989999999999995</v>
      </c>
      <c r="I630">
        <v>71.69</v>
      </c>
      <c r="J630">
        <v>14</v>
      </c>
      <c r="K630" t="s">
        <v>16</v>
      </c>
      <c r="L630" s="3">
        <f t="shared" si="9"/>
        <v>83088.709999999992</v>
      </c>
    </row>
    <row r="631" spans="1:12">
      <c r="A631" t="s">
        <v>657</v>
      </c>
      <c r="B631" t="s">
        <v>38</v>
      </c>
      <c r="C631" s="1">
        <v>45015</v>
      </c>
      <c r="D631" s="1">
        <v>45021</v>
      </c>
      <c r="E631" t="s">
        <v>40</v>
      </c>
      <c r="F631" t="s">
        <v>19</v>
      </c>
      <c r="G631">
        <v>746</v>
      </c>
      <c r="H631" s="3">
        <v>16.989999999999998</v>
      </c>
      <c r="I631">
        <v>15.35</v>
      </c>
      <c r="J631">
        <v>69</v>
      </c>
      <c r="K631" t="s">
        <v>27</v>
      </c>
      <c r="L631" s="3">
        <f t="shared" si="9"/>
        <v>11451.1</v>
      </c>
    </row>
    <row r="632" spans="1:12">
      <c r="A632" t="s">
        <v>658</v>
      </c>
      <c r="B632" t="s">
        <v>38</v>
      </c>
      <c r="C632" s="1">
        <v>45189</v>
      </c>
      <c r="D632" s="1">
        <v>45205</v>
      </c>
      <c r="E632" t="s">
        <v>24</v>
      </c>
      <c r="F632" t="s">
        <v>19</v>
      </c>
      <c r="G632" s="2">
        <v>1358</v>
      </c>
      <c r="H632" s="3">
        <v>42.21</v>
      </c>
      <c r="I632">
        <v>38.75</v>
      </c>
      <c r="J632">
        <v>128</v>
      </c>
      <c r="K632" t="s">
        <v>16</v>
      </c>
      <c r="L632" s="3">
        <f t="shared" si="9"/>
        <v>52622.5</v>
      </c>
    </row>
    <row r="633" spans="1:12">
      <c r="A633" t="s">
        <v>659</v>
      </c>
      <c r="B633" t="s">
        <v>21</v>
      </c>
      <c r="C633" s="1">
        <v>45078</v>
      </c>
      <c r="D633" s="1">
        <v>45089</v>
      </c>
      <c r="E633" t="s">
        <v>14</v>
      </c>
      <c r="F633" t="s">
        <v>19</v>
      </c>
      <c r="G633" s="2">
        <v>1293</v>
      </c>
      <c r="H633" s="3">
        <v>63.53</v>
      </c>
      <c r="I633">
        <v>59.42</v>
      </c>
      <c r="J633">
        <v>79</v>
      </c>
      <c r="K633" t="s">
        <v>16</v>
      </c>
      <c r="L633" s="3">
        <f t="shared" si="9"/>
        <v>76830.06</v>
      </c>
    </row>
    <row r="634" spans="1:12">
      <c r="A634" t="s">
        <v>660</v>
      </c>
      <c r="B634" t="s">
        <v>13</v>
      </c>
      <c r="C634" s="1">
        <v>44998</v>
      </c>
      <c r="D634" s="1">
        <v>45009</v>
      </c>
      <c r="E634" t="s">
        <v>40</v>
      </c>
      <c r="F634" t="s">
        <v>19</v>
      </c>
      <c r="G634" s="2">
        <v>1142</v>
      </c>
      <c r="H634" s="3">
        <v>86.85</v>
      </c>
      <c r="I634">
        <v>74.28</v>
      </c>
      <c r="J634">
        <v>30</v>
      </c>
      <c r="K634" t="s">
        <v>16</v>
      </c>
      <c r="L634" s="3">
        <f t="shared" si="9"/>
        <v>84827.76</v>
      </c>
    </row>
    <row r="635" spans="1:12">
      <c r="A635" t="s">
        <v>661</v>
      </c>
      <c r="B635" t="s">
        <v>29</v>
      </c>
      <c r="C635" s="1">
        <v>45123</v>
      </c>
      <c r="D635" s="1">
        <v>45134</v>
      </c>
      <c r="E635" t="s">
        <v>22</v>
      </c>
      <c r="F635" t="s">
        <v>19</v>
      </c>
      <c r="G635" s="2">
        <v>1120</v>
      </c>
      <c r="H635" s="3">
        <v>42.17</v>
      </c>
      <c r="I635">
        <v>37.47</v>
      </c>
      <c r="J635">
        <v>33</v>
      </c>
      <c r="K635" t="s">
        <v>16</v>
      </c>
      <c r="L635" s="3">
        <f t="shared" si="9"/>
        <v>41966.400000000001</v>
      </c>
    </row>
    <row r="636" spans="1:12">
      <c r="A636" t="s">
        <v>662</v>
      </c>
      <c r="B636" t="s">
        <v>13</v>
      </c>
      <c r="C636" s="1">
        <v>45018</v>
      </c>
      <c r="D636" s="1">
        <v>45030</v>
      </c>
      <c r="E636" t="s">
        <v>22</v>
      </c>
      <c r="F636" t="s">
        <v>19</v>
      </c>
      <c r="G636" s="2">
        <v>1058</v>
      </c>
      <c r="H636" s="3">
        <v>71.3</v>
      </c>
      <c r="I636">
        <v>62.04</v>
      </c>
      <c r="K636" t="s">
        <v>16</v>
      </c>
      <c r="L636" s="3">
        <f t="shared" si="9"/>
        <v>65638.319999999992</v>
      </c>
    </row>
    <row r="637" spans="1:12">
      <c r="A637" t="s">
        <v>663</v>
      </c>
      <c r="B637" t="s">
        <v>29</v>
      </c>
      <c r="C637" s="1">
        <v>44724</v>
      </c>
      <c r="E637" t="s">
        <v>14</v>
      </c>
      <c r="F637" t="s">
        <v>19</v>
      </c>
      <c r="G637">
        <v>143</v>
      </c>
      <c r="H637" s="3">
        <v>91.98</v>
      </c>
      <c r="I637">
        <v>86.02</v>
      </c>
      <c r="J637">
        <v>5</v>
      </c>
      <c r="K637" t="s">
        <v>16</v>
      </c>
      <c r="L637" s="3">
        <f t="shared" si="9"/>
        <v>12300.859999999999</v>
      </c>
    </row>
    <row r="638" spans="1:12">
      <c r="A638" t="s">
        <v>664</v>
      </c>
      <c r="B638" t="s">
        <v>38</v>
      </c>
      <c r="C638" s="1">
        <v>45048</v>
      </c>
      <c r="D638" s="1">
        <v>45060</v>
      </c>
      <c r="E638" t="s">
        <v>22</v>
      </c>
      <c r="F638" t="s">
        <v>19</v>
      </c>
      <c r="G638" s="2">
        <v>1823</v>
      </c>
      <c r="H638" s="3">
        <v>70.66</v>
      </c>
      <c r="I638">
        <v>66.92</v>
      </c>
      <c r="J638">
        <v>202</v>
      </c>
      <c r="K638" t="s">
        <v>16</v>
      </c>
      <c r="L638" s="3">
        <f t="shared" si="9"/>
        <v>121995.16</v>
      </c>
    </row>
    <row r="639" spans="1:12">
      <c r="A639" t="s">
        <v>665</v>
      </c>
      <c r="B639" t="s">
        <v>21</v>
      </c>
      <c r="C639" s="1">
        <v>45022</v>
      </c>
      <c r="D639" s="1">
        <v>45026</v>
      </c>
      <c r="E639" t="s">
        <v>14</v>
      </c>
      <c r="F639" t="s">
        <v>19</v>
      </c>
      <c r="G639" s="2">
        <v>1007</v>
      </c>
      <c r="H639" s="3">
        <v>33.29</v>
      </c>
      <c r="I639">
        <v>28.48</v>
      </c>
      <c r="J639">
        <v>49</v>
      </c>
      <c r="K639" t="s">
        <v>16</v>
      </c>
      <c r="L639" s="3">
        <f t="shared" si="9"/>
        <v>28679.360000000001</v>
      </c>
    </row>
    <row r="640" spans="1:12">
      <c r="A640" t="s">
        <v>666</v>
      </c>
      <c r="B640" t="s">
        <v>21</v>
      </c>
      <c r="C640" s="1">
        <v>44827</v>
      </c>
      <c r="D640" s="1">
        <v>44842</v>
      </c>
      <c r="E640" t="s">
        <v>24</v>
      </c>
      <c r="F640" t="s">
        <v>19</v>
      </c>
      <c r="G640" s="2">
        <v>1061</v>
      </c>
      <c r="H640" s="3">
        <v>12.68</v>
      </c>
      <c r="I640">
        <v>12.36</v>
      </c>
      <c r="J640">
        <v>56</v>
      </c>
      <c r="K640" t="s">
        <v>27</v>
      </c>
      <c r="L640" s="3">
        <f t="shared" si="9"/>
        <v>13113.96</v>
      </c>
    </row>
    <row r="641" spans="1:12">
      <c r="A641" t="s">
        <v>667</v>
      </c>
      <c r="B641" t="s">
        <v>38</v>
      </c>
      <c r="C641" s="1">
        <v>44815</v>
      </c>
      <c r="D641" s="1">
        <v>44830</v>
      </c>
      <c r="E641" t="s">
        <v>22</v>
      </c>
      <c r="F641" t="s">
        <v>35</v>
      </c>
      <c r="G641">
        <v>502</v>
      </c>
      <c r="H641" s="3">
        <v>91.84</v>
      </c>
      <c r="I641">
        <v>82.33</v>
      </c>
      <c r="K641" t="s">
        <v>16</v>
      </c>
      <c r="L641" s="3">
        <f t="shared" si="9"/>
        <v>41329.659999999996</v>
      </c>
    </row>
    <row r="642" spans="1:12">
      <c r="A642" t="s">
        <v>668</v>
      </c>
      <c r="B642" t="s">
        <v>18</v>
      </c>
      <c r="C642" s="1">
        <v>45214</v>
      </c>
      <c r="D642" s="1">
        <v>45218</v>
      </c>
      <c r="E642" t="s">
        <v>24</v>
      </c>
      <c r="F642" t="s">
        <v>19</v>
      </c>
      <c r="G642" s="2">
        <v>1277</v>
      </c>
      <c r="H642" s="3">
        <v>13.17</v>
      </c>
      <c r="I642">
        <v>11.63</v>
      </c>
      <c r="J642">
        <v>199</v>
      </c>
      <c r="K642" t="s">
        <v>27</v>
      </c>
      <c r="L642" s="3">
        <f t="shared" si="9"/>
        <v>14851.51</v>
      </c>
    </row>
    <row r="643" spans="1:12">
      <c r="A643" t="s">
        <v>669</v>
      </c>
      <c r="B643" t="s">
        <v>13</v>
      </c>
      <c r="C643" s="1">
        <v>44845</v>
      </c>
      <c r="D643" s="1">
        <v>44858</v>
      </c>
      <c r="E643" t="s">
        <v>24</v>
      </c>
      <c r="F643" t="s">
        <v>19</v>
      </c>
      <c r="G643">
        <v>961</v>
      </c>
      <c r="H643" s="3">
        <v>92.72</v>
      </c>
      <c r="I643">
        <v>88.49</v>
      </c>
      <c r="J643">
        <v>22</v>
      </c>
      <c r="K643" t="s">
        <v>16</v>
      </c>
      <c r="L643" s="3">
        <f t="shared" ref="L643:L706" si="10">I643*G643</f>
        <v>85038.89</v>
      </c>
    </row>
    <row r="644" spans="1:12">
      <c r="A644" t="s">
        <v>670</v>
      </c>
      <c r="B644" t="s">
        <v>21</v>
      </c>
      <c r="C644" s="1">
        <v>45095</v>
      </c>
      <c r="D644" s="1">
        <v>45109</v>
      </c>
      <c r="E644" t="s">
        <v>24</v>
      </c>
      <c r="F644" t="s">
        <v>19</v>
      </c>
      <c r="G644">
        <v>267</v>
      </c>
      <c r="H644" s="3">
        <v>62.5</v>
      </c>
      <c r="I644">
        <v>61.18</v>
      </c>
      <c r="J644">
        <v>17</v>
      </c>
      <c r="K644" t="s">
        <v>16</v>
      </c>
      <c r="L644" s="3">
        <f t="shared" si="10"/>
        <v>16335.06</v>
      </c>
    </row>
    <row r="645" spans="1:12">
      <c r="A645" t="s">
        <v>671</v>
      </c>
      <c r="B645" t="s">
        <v>18</v>
      </c>
      <c r="C645" s="1">
        <v>45058</v>
      </c>
      <c r="D645" s="1">
        <v>45064</v>
      </c>
      <c r="E645" t="s">
        <v>26</v>
      </c>
      <c r="F645" t="s">
        <v>15</v>
      </c>
      <c r="G645">
        <v>523</v>
      </c>
      <c r="H645" s="3">
        <v>102.08</v>
      </c>
      <c r="I645">
        <v>99.59</v>
      </c>
      <c r="K645" t="s">
        <v>16</v>
      </c>
      <c r="L645" s="3">
        <f t="shared" si="10"/>
        <v>52085.57</v>
      </c>
    </row>
    <row r="646" spans="1:12">
      <c r="A646" t="s">
        <v>672</v>
      </c>
      <c r="B646" t="s">
        <v>29</v>
      </c>
      <c r="C646" s="1">
        <v>45203</v>
      </c>
      <c r="D646" s="1">
        <v>45222</v>
      </c>
      <c r="E646" t="s">
        <v>40</v>
      </c>
      <c r="F646" t="s">
        <v>35</v>
      </c>
      <c r="G646">
        <v>481</v>
      </c>
      <c r="H646" s="3">
        <v>90.49</v>
      </c>
      <c r="I646">
        <v>77.17</v>
      </c>
      <c r="K646" t="s">
        <v>16</v>
      </c>
      <c r="L646" s="3">
        <f t="shared" si="10"/>
        <v>37118.770000000004</v>
      </c>
    </row>
    <row r="647" spans="1:12">
      <c r="A647" t="s">
        <v>673</v>
      </c>
      <c r="B647" t="s">
        <v>21</v>
      </c>
      <c r="C647" s="1">
        <v>44806</v>
      </c>
      <c r="D647" s="1">
        <v>44813</v>
      </c>
      <c r="E647" t="s">
        <v>14</v>
      </c>
      <c r="F647" t="s">
        <v>19</v>
      </c>
      <c r="G647">
        <v>390</v>
      </c>
      <c r="H647" s="3">
        <v>103.81</v>
      </c>
      <c r="I647">
        <v>100.12</v>
      </c>
      <c r="J647">
        <v>20</v>
      </c>
      <c r="K647" t="s">
        <v>16</v>
      </c>
      <c r="L647" s="3">
        <f t="shared" si="10"/>
        <v>39046.800000000003</v>
      </c>
    </row>
    <row r="648" spans="1:12">
      <c r="A648" t="s">
        <v>674</v>
      </c>
      <c r="B648" t="s">
        <v>29</v>
      </c>
      <c r="C648" s="1">
        <v>44843</v>
      </c>
      <c r="D648" s="1">
        <v>44859</v>
      </c>
      <c r="E648" t="s">
        <v>24</v>
      </c>
      <c r="F648" t="s">
        <v>19</v>
      </c>
      <c r="G648">
        <v>600</v>
      </c>
      <c r="H648" s="3">
        <v>43.43</v>
      </c>
      <c r="I648">
        <v>38.76</v>
      </c>
      <c r="J648">
        <v>22</v>
      </c>
      <c r="K648" t="s">
        <v>16</v>
      </c>
      <c r="L648" s="3">
        <f t="shared" si="10"/>
        <v>23256</v>
      </c>
    </row>
    <row r="649" spans="1:12">
      <c r="A649" t="s">
        <v>675</v>
      </c>
      <c r="B649" t="s">
        <v>18</v>
      </c>
      <c r="C649" s="1">
        <v>45012</v>
      </c>
      <c r="E649" t="s">
        <v>14</v>
      </c>
      <c r="F649" t="s">
        <v>19</v>
      </c>
      <c r="G649" s="2">
        <v>1685</v>
      </c>
      <c r="H649" s="3">
        <v>84.58</v>
      </c>
      <c r="I649">
        <v>75.209999999999994</v>
      </c>
      <c r="J649">
        <v>253</v>
      </c>
      <c r="K649" t="s">
        <v>27</v>
      </c>
      <c r="L649" s="3">
        <f t="shared" si="10"/>
        <v>126728.84999999999</v>
      </c>
    </row>
    <row r="650" spans="1:12">
      <c r="A650" t="s">
        <v>676</v>
      </c>
      <c r="B650" t="s">
        <v>29</v>
      </c>
      <c r="C650" s="1">
        <v>44641</v>
      </c>
      <c r="D650" s="1">
        <v>44651</v>
      </c>
      <c r="E650" t="s">
        <v>24</v>
      </c>
      <c r="F650" t="s">
        <v>15</v>
      </c>
      <c r="G650" s="2">
        <v>1362</v>
      </c>
      <c r="H650" s="3">
        <v>46.64</v>
      </c>
      <c r="I650">
        <v>42.85</v>
      </c>
      <c r="J650">
        <v>33</v>
      </c>
      <c r="K650" t="s">
        <v>16</v>
      </c>
      <c r="L650" s="3">
        <f t="shared" si="10"/>
        <v>58361.700000000004</v>
      </c>
    </row>
    <row r="651" spans="1:12">
      <c r="A651" t="s">
        <v>677</v>
      </c>
      <c r="B651" t="s">
        <v>18</v>
      </c>
      <c r="C651" s="1">
        <v>45292</v>
      </c>
      <c r="D651" s="1">
        <v>45295</v>
      </c>
      <c r="E651" t="s">
        <v>40</v>
      </c>
      <c r="F651" t="s">
        <v>35</v>
      </c>
      <c r="G651" s="2">
        <v>1327</v>
      </c>
      <c r="H651" s="3">
        <v>59.57</v>
      </c>
      <c r="I651">
        <v>56.44</v>
      </c>
      <c r="J651">
        <v>169</v>
      </c>
      <c r="K651" t="s">
        <v>16</v>
      </c>
      <c r="L651" s="3">
        <f t="shared" si="10"/>
        <v>74895.87999999999</v>
      </c>
    </row>
    <row r="652" spans="1:12">
      <c r="A652" t="s">
        <v>678</v>
      </c>
      <c r="B652" t="s">
        <v>29</v>
      </c>
      <c r="C652" s="1">
        <v>44854</v>
      </c>
      <c r="E652" t="s">
        <v>22</v>
      </c>
      <c r="F652" t="s">
        <v>19</v>
      </c>
      <c r="G652" s="2">
        <v>1807</v>
      </c>
      <c r="H652" s="3">
        <v>69.47</v>
      </c>
      <c r="I652">
        <v>60</v>
      </c>
      <c r="J652">
        <v>50</v>
      </c>
      <c r="K652" t="s">
        <v>16</v>
      </c>
      <c r="L652" s="3">
        <f t="shared" si="10"/>
        <v>108420</v>
      </c>
    </row>
    <row r="653" spans="1:12">
      <c r="A653" t="s">
        <v>679</v>
      </c>
      <c r="B653" t="s">
        <v>13</v>
      </c>
      <c r="C653" s="1">
        <v>44802</v>
      </c>
      <c r="D653" s="1">
        <v>44810</v>
      </c>
      <c r="E653" t="s">
        <v>14</v>
      </c>
      <c r="F653" t="s">
        <v>35</v>
      </c>
      <c r="G653">
        <v>406</v>
      </c>
      <c r="H653" s="3">
        <v>91.73</v>
      </c>
      <c r="I653">
        <v>89.13</v>
      </c>
      <c r="K653" t="s">
        <v>16</v>
      </c>
      <c r="L653" s="3">
        <f t="shared" si="10"/>
        <v>36186.78</v>
      </c>
    </row>
    <row r="654" spans="1:12">
      <c r="A654" t="s">
        <v>680</v>
      </c>
      <c r="B654" t="s">
        <v>21</v>
      </c>
      <c r="C654" s="1">
        <v>44840</v>
      </c>
      <c r="D654" s="1">
        <v>44852</v>
      </c>
      <c r="E654" t="s">
        <v>26</v>
      </c>
      <c r="F654" t="s">
        <v>33</v>
      </c>
      <c r="G654">
        <v>72</v>
      </c>
      <c r="H654" s="3">
        <v>103</v>
      </c>
      <c r="I654">
        <v>89.49</v>
      </c>
      <c r="J654">
        <v>1</v>
      </c>
      <c r="K654" t="s">
        <v>27</v>
      </c>
      <c r="L654" s="3">
        <f t="shared" si="10"/>
        <v>6443.28</v>
      </c>
    </row>
    <row r="655" spans="1:12">
      <c r="A655" t="s">
        <v>681</v>
      </c>
      <c r="B655" t="s">
        <v>21</v>
      </c>
      <c r="C655" s="1">
        <v>44905</v>
      </c>
      <c r="D655" s="1">
        <v>44915</v>
      </c>
      <c r="E655" t="s">
        <v>14</v>
      </c>
      <c r="F655" t="s">
        <v>19</v>
      </c>
      <c r="G655" s="2">
        <v>1835</v>
      </c>
      <c r="H655" s="3">
        <v>83.5</v>
      </c>
      <c r="I655">
        <v>82.36</v>
      </c>
      <c r="J655">
        <v>85</v>
      </c>
      <c r="K655" t="s">
        <v>27</v>
      </c>
      <c r="L655" s="3">
        <f t="shared" si="10"/>
        <v>151130.6</v>
      </c>
    </row>
    <row r="656" spans="1:12">
      <c r="A656" t="s">
        <v>682</v>
      </c>
      <c r="B656" t="s">
        <v>18</v>
      </c>
      <c r="C656" s="1">
        <v>44889</v>
      </c>
      <c r="D656" s="1">
        <v>44905</v>
      </c>
      <c r="E656" t="s">
        <v>40</v>
      </c>
      <c r="F656" t="s">
        <v>35</v>
      </c>
      <c r="G656">
        <v>571</v>
      </c>
      <c r="H656" s="3">
        <v>49.98</v>
      </c>
      <c r="I656">
        <v>45.58</v>
      </c>
      <c r="K656" t="s">
        <v>27</v>
      </c>
      <c r="L656" s="3">
        <f t="shared" si="10"/>
        <v>26026.18</v>
      </c>
    </row>
    <row r="657" spans="1:12">
      <c r="A657" t="s">
        <v>683</v>
      </c>
      <c r="B657" t="s">
        <v>29</v>
      </c>
      <c r="C657" s="1">
        <v>45115</v>
      </c>
      <c r="D657" s="1">
        <v>45116</v>
      </c>
      <c r="E657" t="s">
        <v>24</v>
      </c>
      <c r="F657" t="s">
        <v>19</v>
      </c>
      <c r="G657" s="2">
        <v>1831</v>
      </c>
      <c r="H657" s="3">
        <v>52.24</v>
      </c>
      <c r="I657">
        <v>50.44</v>
      </c>
      <c r="J657">
        <v>60</v>
      </c>
      <c r="K657" t="s">
        <v>16</v>
      </c>
      <c r="L657" s="3">
        <f t="shared" si="10"/>
        <v>92355.64</v>
      </c>
    </row>
    <row r="658" spans="1:12">
      <c r="A658" t="s">
        <v>684</v>
      </c>
      <c r="B658" t="s">
        <v>38</v>
      </c>
      <c r="C658" s="1">
        <v>44644</v>
      </c>
      <c r="D658" s="1">
        <v>44658</v>
      </c>
      <c r="E658" t="s">
        <v>14</v>
      </c>
      <c r="F658" t="s">
        <v>35</v>
      </c>
      <c r="G658" s="2">
        <v>1910</v>
      </c>
      <c r="H658" s="3">
        <v>77.150000000000006</v>
      </c>
      <c r="I658">
        <v>68.489999999999995</v>
      </c>
      <c r="J658">
        <v>170</v>
      </c>
      <c r="K658" t="s">
        <v>16</v>
      </c>
      <c r="L658" s="3">
        <f t="shared" si="10"/>
        <v>130815.9</v>
      </c>
    </row>
    <row r="659" spans="1:12">
      <c r="A659" t="s">
        <v>685</v>
      </c>
      <c r="B659" t="s">
        <v>21</v>
      </c>
      <c r="C659" s="1">
        <v>44703</v>
      </c>
      <c r="D659" s="1">
        <v>44712</v>
      </c>
      <c r="E659" t="s">
        <v>40</v>
      </c>
      <c r="F659" t="s">
        <v>33</v>
      </c>
      <c r="G659" s="2">
        <v>1173</v>
      </c>
      <c r="H659" s="3">
        <v>32.119999999999997</v>
      </c>
      <c r="I659">
        <v>29.18</v>
      </c>
      <c r="K659" t="s">
        <v>16</v>
      </c>
      <c r="L659" s="3">
        <f t="shared" si="10"/>
        <v>34228.14</v>
      </c>
    </row>
    <row r="660" spans="1:12">
      <c r="A660" t="s">
        <v>686</v>
      </c>
      <c r="B660" t="s">
        <v>29</v>
      </c>
      <c r="C660" s="1">
        <v>44716</v>
      </c>
      <c r="D660" s="1">
        <v>44729</v>
      </c>
      <c r="E660" t="s">
        <v>24</v>
      </c>
      <c r="F660" t="s">
        <v>33</v>
      </c>
      <c r="G660">
        <v>851</v>
      </c>
      <c r="H660" s="3">
        <v>20.440000000000001</v>
      </c>
      <c r="I660">
        <v>19.22</v>
      </c>
      <c r="J660">
        <v>22</v>
      </c>
      <c r="K660" t="s">
        <v>16</v>
      </c>
      <c r="L660" s="3">
        <f t="shared" si="10"/>
        <v>16356.22</v>
      </c>
    </row>
    <row r="661" spans="1:12">
      <c r="A661" t="s">
        <v>687</v>
      </c>
      <c r="B661" t="s">
        <v>29</v>
      </c>
      <c r="C661" s="1">
        <v>44798</v>
      </c>
      <c r="D661" s="1">
        <v>44811</v>
      </c>
      <c r="E661" t="s">
        <v>22</v>
      </c>
      <c r="F661" t="s">
        <v>15</v>
      </c>
      <c r="G661" s="2">
        <v>1253</v>
      </c>
      <c r="H661" s="3">
        <v>43.38</v>
      </c>
      <c r="I661">
        <v>38.01</v>
      </c>
      <c r="J661">
        <v>34</v>
      </c>
      <c r="K661" t="s">
        <v>16</v>
      </c>
      <c r="L661" s="3">
        <f t="shared" si="10"/>
        <v>47626.53</v>
      </c>
    </row>
    <row r="662" spans="1:12">
      <c r="A662" t="s">
        <v>688</v>
      </c>
      <c r="B662" t="s">
        <v>13</v>
      </c>
      <c r="C662" s="1">
        <v>44954</v>
      </c>
      <c r="D662" s="1">
        <v>44972</v>
      </c>
      <c r="E662" t="s">
        <v>40</v>
      </c>
      <c r="F662" t="s">
        <v>19</v>
      </c>
      <c r="G662" s="2">
        <v>1296</v>
      </c>
      <c r="H662" s="3">
        <v>38</v>
      </c>
      <c r="I662">
        <v>33.42</v>
      </c>
      <c r="J662">
        <v>33</v>
      </c>
      <c r="K662" t="s">
        <v>16</v>
      </c>
      <c r="L662" s="3">
        <f t="shared" si="10"/>
        <v>43312.32</v>
      </c>
    </row>
    <row r="663" spans="1:12">
      <c r="A663" t="s">
        <v>689</v>
      </c>
      <c r="B663" t="s">
        <v>38</v>
      </c>
      <c r="C663" s="1">
        <v>45272</v>
      </c>
      <c r="D663" s="1">
        <v>45290</v>
      </c>
      <c r="E663" t="s">
        <v>26</v>
      </c>
      <c r="F663" t="s">
        <v>19</v>
      </c>
      <c r="G663" s="2">
        <v>1979</v>
      </c>
      <c r="H663" s="3">
        <v>40.880000000000003</v>
      </c>
      <c r="I663">
        <v>39.46</v>
      </c>
      <c r="J663">
        <v>221</v>
      </c>
      <c r="K663" t="s">
        <v>16</v>
      </c>
      <c r="L663" s="3">
        <f t="shared" si="10"/>
        <v>78091.34</v>
      </c>
    </row>
    <row r="664" spans="1:12">
      <c r="A664" t="s">
        <v>690</v>
      </c>
      <c r="B664" t="s">
        <v>21</v>
      </c>
      <c r="C664" s="1">
        <v>44718</v>
      </c>
      <c r="D664" s="1">
        <v>44731</v>
      </c>
      <c r="E664" t="s">
        <v>14</v>
      </c>
      <c r="F664" t="s">
        <v>19</v>
      </c>
      <c r="G664">
        <v>811</v>
      </c>
      <c r="H664" s="3">
        <v>31.8</v>
      </c>
      <c r="I664">
        <v>30.33</v>
      </c>
      <c r="J664">
        <v>58</v>
      </c>
      <c r="K664" t="s">
        <v>16</v>
      </c>
      <c r="L664" s="3">
        <f t="shared" si="10"/>
        <v>24597.629999999997</v>
      </c>
    </row>
    <row r="665" spans="1:12">
      <c r="A665" t="s">
        <v>691</v>
      </c>
      <c r="B665" t="s">
        <v>13</v>
      </c>
      <c r="C665" s="1">
        <v>45285</v>
      </c>
      <c r="D665" s="1">
        <v>45303</v>
      </c>
      <c r="E665" t="s">
        <v>40</v>
      </c>
      <c r="F665" t="s">
        <v>19</v>
      </c>
      <c r="G665" s="2">
        <v>1732</v>
      </c>
      <c r="H665" s="3">
        <v>15.37</v>
      </c>
      <c r="I665">
        <v>14.7</v>
      </c>
      <c r="J665">
        <v>38</v>
      </c>
      <c r="K665" t="s">
        <v>16</v>
      </c>
      <c r="L665" s="3">
        <f t="shared" si="10"/>
        <v>25460.399999999998</v>
      </c>
    </row>
    <row r="666" spans="1:12">
      <c r="A666" t="s">
        <v>692</v>
      </c>
      <c r="B666" t="s">
        <v>38</v>
      </c>
      <c r="C666" s="1">
        <v>44781</v>
      </c>
      <c r="D666" s="1">
        <v>44801</v>
      </c>
      <c r="E666" t="s">
        <v>24</v>
      </c>
      <c r="F666" t="s">
        <v>19</v>
      </c>
      <c r="G666">
        <v>491</v>
      </c>
      <c r="H666" s="3">
        <v>12.01</v>
      </c>
      <c r="I666">
        <v>11.67</v>
      </c>
      <c r="J666">
        <v>47</v>
      </c>
      <c r="K666" t="s">
        <v>16</v>
      </c>
      <c r="L666" s="3">
        <f t="shared" si="10"/>
        <v>5729.97</v>
      </c>
    </row>
    <row r="667" spans="1:12">
      <c r="A667" t="s">
        <v>693</v>
      </c>
      <c r="B667" t="s">
        <v>21</v>
      </c>
      <c r="C667" s="1">
        <v>44627</v>
      </c>
      <c r="D667" s="1">
        <v>44631</v>
      </c>
      <c r="E667" t="s">
        <v>24</v>
      </c>
      <c r="F667" t="s">
        <v>15</v>
      </c>
      <c r="G667" s="2">
        <v>1681</v>
      </c>
      <c r="H667" s="3">
        <v>99.88</v>
      </c>
      <c r="I667">
        <v>96.38</v>
      </c>
      <c r="J667">
        <v>90</v>
      </c>
      <c r="K667" t="s">
        <v>16</v>
      </c>
      <c r="L667" s="3">
        <f t="shared" si="10"/>
        <v>162014.78</v>
      </c>
    </row>
    <row r="668" spans="1:12">
      <c r="A668" t="s">
        <v>694</v>
      </c>
      <c r="B668" t="s">
        <v>13</v>
      </c>
      <c r="C668" s="1">
        <v>44986</v>
      </c>
      <c r="D668" s="1">
        <v>44990</v>
      </c>
      <c r="E668" t="s">
        <v>26</v>
      </c>
      <c r="F668" t="s">
        <v>33</v>
      </c>
      <c r="G668">
        <v>818</v>
      </c>
      <c r="H668" s="3">
        <v>51.89</v>
      </c>
      <c r="I668">
        <v>47.85</v>
      </c>
      <c r="J668">
        <v>12</v>
      </c>
      <c r="K668" t="s">
        <v>16</v>
      </c>
      <c r="L668" s="3">
        <f t="shared" si="10"/>
        <v>39141.300000000003</v>
      </c>
    </row>
    <row r="669" spans="1:12">
      <c r="A669" t="s">
        <v>695</v>
      </c>
      <c r="B669" t="s">
        <v>38</v>
      </c>
      <c r="C669" s="1">
        <v>44979</v>
      </c>
      <c r="D669" s="1">
        <v>44990</v>
      </c>
      <c r="E669" t="s">
        <v>14</v>
      </c>
      <c r="F669" t="s">
        <v>19</v>
      </c>
      <c r="G669" s="2">
        <v>1065</v>
      </c>
      <c r="H669" s="3">
        <v>47.49</v>
      </c>
      <c r="I669">
        <v>41.42</v>
      </c>
      <c r="J669">
        <v>113</v>
      </c>
      <c r="K669" t="s">
        <v>16</v>
      </c>
      <c r="L669" s="3">
        <f t="shared" si="10"/>
        <v>44112.3</v>
      </c>
    </row>
    <row r="670" spans="1:12">
      <c r="A670" t="s">
        <v>696</v>
      </c>
      <c r="B670" t="s">
        <v>21</v>
      </c>
      <c r="C670" s="1">
        <v>44900</v>
      </c>
      <c r="D670" s="1">
        <v>44912</v>
      </c>
      <c r="E670" t="s">
        <v>24</v>
      </c>
      <c r="F670" t="s">
        <v>19</v>
      </c>
      <c r="G670" s="2">
        <v>1398</v>
      </c>
      <c r="H670" s="3">
        <v>75.08</v>
      </c>
      <c r="I670">
        <v>67.09</v>
      </c>
      <c r="J670">
        <v>57</v>
      </c>
      <c r="K670" t="s">
        <v>16</v>
      </c>
      <c r="L670" s="3">
        <f t="shared" si="10"/>
        <v>93791.82</v>
      </c>
    </row>
    <row r="671" spans="1:12">
      <c r="A671" t="s">
        <v>697</v>
      </c>
      <c r="B671" t="s">
        <v>38</v>
      </c>
      <c r="C671" s="1">
        <v>45117</v>
      </c>
      <c r="D671" s="1">
        <v>45124</v>
      </c>
      <c r="E671" t="s">
        <v>24</v>
      </c>
      <c r="F671" t="s">
        <v>19</v>
      </c>
      <c r="G671">
        <v>565</v>
      </c>
      <c r="H671" s="3">
        <v>32.31</v>
      </c>
      <c r="I671">
        <v>29.76</v>
      </c>
      <c r="J671">
        <v>60</v>
      </c>
      <c r="K671" t="s">
        <v>16</v>
      </c>
      <c r="L671" s="3">
        <f t="shared" si="10"/>
        <v>16814.400000000001</v>
      </c>
    </row>
    <row r="672" spans="1:12">
      <c r="A672" t="s">
        <v>698</v>
      </c>
      <c r="B672" t="s">
        <v>29</v>
      </c>
      <c r="C672" s="1">
        <v>45039</v>
      </c>
      <c r="D672" s="1">
        <v>45052</v>
      </c>
      <c r="E672" t="s">
        <v>24</v>
      </c>
      <c r="F672" t="s">
        <v>35</v>
      </c>
      <c r="G672" s="2">
        <v>1089</v>
      </c>
      <c r="H672" s="3">
        <v>102.66</v>
      </c>
      <c r="I672">
        <v>89.21</v>
      </c>
      <c r="J672">
        <v>33</v>
      </c>
      <c r="K672" t="s">
        <v>16</v>
      </c>
      <c r="L672" s="3">
        <f t="shared" si="10"/>
        <v>97149.689999999988</v>
      </c>
    </row>
    <row r="673" spans="1:12">
      <c r="A673" t="s">
        <v>699</v>
      </c>
      <c r="B673" t="s">
        <v>18</v>
      </c>
      <c r="C673" s="1">
        <v>44987</v>
      </c>
      <c r="D673" s="1">
        <v>44989</v>
      </c>
      <c r="E673" t="s">
        <v>40</v>
      </c>
      <c r="F673" t="s">
        <v>19</v>
      </c>
      <c r="G673">
        <v>841</v>
      </c>
      <c r="H673" s="3">
        <v>86.43</v>
      </c>
      <c r="I673">
        <v>83.77</v>
      </c>
      <c r="J673">
        <v>125</v>
      </c>
      <c r="K673" t="s">
        <v>27</v>
      </c>
      <c r="L673" s="3">
        <f t="shared" si="10"/>
        <v>70450.569999999992</v>
      </c>
    </row>
    <row r="674" spans="1:12">
      <c r="A674" t="s">
        <v>700</v>
      </c>
      <c r="B674" t="s">
        <v>18</v>
      </c>
      <c r="C674" s="1">
        <v>44625</v>
      </c>
      <c r="D674" s="1">
        <v>44636</v>
      </c>
      <c r="E674" t="s">
        <v>40</v>
      </c>
      <c r="F674" t="s">
        <v>19</v>
      </c>
      <c r="G674">
        <v>385</v>
      </c>
      <c r="H674" s="3">
        <v>18.23</v>
      </c>
      <c r="I674">
        <v>17.739999999999998</v>
      </c>
      <c r="K674" t="s">
        <v>16</v>
      </c>
      <c r="L674" s="3">
        <f t="shared" si="10"/>
        <v>6829.9</v>
      </c>
    </row>
    <row r="675" spans="1:12">
      <c r="A675" t="s">
        <v>701</v>
      </c>
      <c r="B675" t="s">
        <v>29</v>
      </c>
      <c r="C675" s="1">
        <v>44773</v>
      </c>
      <c r="D675" s="1">
        <v>44790</v>
      </c>
      <c r="E675" t="s">
        <v>14</v>
      </c>
      <c r="F675" t="s">
        <v>19</v>
      </c>
      <c r="G675" s="2">
        <v>1832</v>
      </c>
      <c r="H675" s="3">
        <v>49.01</v>
      </c>
      <c r="I675">
        <v>41.86</v>
      </c>
      <c r="J675">
        <v>52</v>
      </c>
      <c r="K675" t="s">
        <v>16</v>
      </c>
      <c r="L675" s="3">
        <f t="shared" si="10"/>
        <v>76687.520000000004</v>
      </c>
    </row>
    <row r="676" spans="1:12">
      <c r="A676" t="s">
        <v>702</v>
      </c>
      <c r="B676" t="s">
        <v>38</v>
      </c>
      <c r="C676" s="1">
        <v>44992</v>
      </c>
      <c r="D676" s="1">
        <v>45012</v>
      </c>
      <c r="E676" t="s">
        <v>26</v>
      </c>
      <c r="F676" t="s">
        <v>19</v>
      </c>
      <c r="G676">
        <v>307</v>
      </c>
      <c r="H676" s="3">
        <v>95.36</v>
      </c>
      <c r="I676">
        <v>83.63</v>
      </c>
      <c r="J676">
        <v>29</v>
      </c>
      <c r="K676" t="s">
        <v>16</v>
      </c>
      <c r="L676" s="3">
        <f t="shared" si="10"/>
        <v>25674.41</v>
      </c>
    </row>
    <row r="677" spans="1:12">
      <c r="A677" t="s">
        <v>703</v>
      </c>
      <c r="B677" t="s">
        <v>29</v>
      </c>
      <c r="C677" s="1">
        <v>44960</v>
      </c>
      <c r="D677" s="1">
        <v>44965</v>
      </c>
      <c r="E677" t="s">
        <v>14</v>
      </c>
      <c r="F677" t="s">
        <v>19</v>
      </c>
      <c r="G677">
        <v>546</v>
      </c>
      <c r="H677" s="3">
        <v>101.2</v>
      </c>
      <c r="I677">
        <v>97.82</v>
      </c>
      <c r="J677">
        <v>21</v>
      </c>
      <c r="K677" t="s">
        <v>16</v>
      </c>
      <c r="L677" s="3">
        <f t="shared" si="10"/>
        <v>53409.719999999994</v>
      </c>
    </row>
    <row r="678" spans="1:12">
      <c r="A678" t="s">
        <v>704</v>
      </c>
      <c r="B678" t="s">
        <v>18</v>
      </c>
      <c r="C678" s="1">
        <v>45160</v>
      </c>
      <c r="D678" s="1">
        <v>45180</v>
      </c>
      <c r="E678" t="s">
        <v>26</v>
      </c>
      <c r="F678" t="s">
        <v>19</v>
      </c>
      <c r="G678">
        <v>945</v>
      </c>
      <c r="H678" s="3">
        <v>57.01</v>
      </c>
      <c r="I678">
        <v>55.14</v>
      </c>
      <c r="J678">
        <v>147</v>
      </c>
      <c r="K678" t="s">
        <v>27</v>
      </c>
      <c r="L678" s="3">
        <f t="shared" si="10"/>
        <v>52107.3</v>
      </c>
    </row>
    <row r="679" spans="1:12">
      <c r="A679" t="s">
        <v>705</v>
      </c>
      <c r="B679" t="s">
        <v>18</v>
      </c>
      <c r="C679" s="1">
        <v>45274</v>
      </c>
      <c r="D679" s="1">
        <v>45287</v>
      </c>
      <c r="E679" t="s">
        <v>22</v>
      </c>
      <c r="F679" t="s">
        <v>35</v>
      </c>
      <c r="G679">
        <v>209</v>
      </c>
      <c r="H679" s="3">
        <v>72.709999999999994</v>
      </c>
      <c r="I679">
        <v>64.34</v>
      </c>
      <c r="J679">
        <v>39</v>
      </c>
      <c r="K679" t="s">
        <v>16</v>
      </c>
      <c r="L679" s="3">
        <f t="shared" si="10"/>
        <v>13447.060000000001</v>
      </c>
    </row>
    <row r="680" spans="1:12">
      <c r="A680" t="s">
        <v>706</v>
      </c>
      <c r="B680" t="s">
        <v>38</v>
      </c>
      <c r="C680" s="1">
        <v>44582</v>
      </c>
      <c r="E680" t="s">
        <v>24</v>
      </c>
      <c r="F680" t="s">
        <v>19</v>
      </c>
      <c r="G680" s="2">
        <v>1548</v>
      </c>
      <c r="H680" s="3">
        <v>25.03</v>
      </c>
      <c r="I680">
        <v>22.87</v>
      </c>
      <c r="K680" t="s">
        <v>16</v>
      </c>
      <c r="L680" s="3">
        <f t="shared" si="10"/>
        <v>35402.76</v>
      </c>
    </row>
    <row r="681" spans="1:12">
      <c r="A681" t="s">
        <v>707</v>
      </c>
      <c r="B681" t="s">
        <v>18</v>
      </c>
      <c r="C681" s="1">
        <v>45151</v>
      </c>
      <c r="D681" s="1">
        <v>45161</v>
      </c>
      <c r="E681" t="s">
        <v>26</v>
      </c>
      <c r="F681" t="s">
        <v>19</v>
      </c>
      <c r="G681">
        <v>901</v>
      </c>
      <c r="H681" s="3">
        <v>108.63</v>
      </c>
      <c r="I681">
        <v>106.3</v>
      </c>
      <c r="J681">
        <v>141</v>
      </c>
      <c r="K681" t="s">
        <v>16</v>
      </c>
      <c r="L681" s="3">
        <f t="shared" si="10"/>
        <v>95776.3</v>
      </c>
    </row>
    <row r="682" spans="1:12">
      <c r="A682" t="s">
        <v>708</v>
      </c>
      <c r="B682" t="s">
        <v>29</v>
      </c>
      <c r="C682" s="1">
        <v>44951</v>
      </c>
      <c r="D682" s="1">
        <v>44968</v>
      </c>
      <c r="E682" t="s">
        <v>24</v>
      </c>
      <c r="F682" t="s">
        <v>19</v>
      </c>
      <c r="G682" s="2">
        <v>1737</v>
      </c>
      <c r="H682" s="3">
        <v>32.700000000000003</v>
      </c>
      <c r="I682">
        <v>31.02</v>
      </c>
      <c r="J682">
        <v>48</v>
      </c>
      <c r="K682" t="s">
        <v>16</v>
      </c>
      <c r="L682" s="3">
        <f t="shared" si="10"/>
        <v>53881.74</v>
      </c>
    </row>
    <row r="683" spans="1:12">
      <c r="A683" t="s">
        <v>709</v>
      </c>
      <c r="B683" t="s">
        <v>38</v>
      </c>
      <c r="C683" s="1">
        <v>45050</v>
      </c>
      <c r="D683" s="1">
        <v>45068</v>
      </c>
      <c r="E683" t="s">
        <v>26</v>
      </c>
      <c r="F683" t="s">
        <v>19</v>
      </c>
      <c r="G683" s="2">
        <v>1981</v>
      </c>
      <c r="H683" s="3">
        <v>102.43</v>
      </c>
      <c r="I683">
        <v>90.99</v>
      </c>
      <c r="J683">
        <v>204</v>
      </c>
      <c r="K683" t="s">
        <v>16</v>
      </c>
      <c r="L683" s="3">
        <f t="shared" si="10"/>
        <v>180251.19</v>
      </c>
    </row>
    <row r="684" spans="1:12">
      <c r="A684" t="s">
        <v>710</v>
      </c>
      <c r="B684" t="s">
        <v>29</v>
      </c>
      <c r="C684" s="1">
        <v>44568</v>
      </c>
      <c r="D684" s="1">
        <v>44587</v>
      </c>
      <c r="E684" t="s">
        <v>22</v>
      </c>
      <c r="F684" t="s">
        <v>35</v>
      </c>
      <c r="G684">
        <v>739</v>
      </c>
      <c r="H684" s="3">
        <v>68.47</v>
      </c>
      <c r="I684">
        <v>66.09</v>
      </c>
      <c r="J684">
        <v>19</v>
      </c>
      <c r="K684" t="s">
        <v>16</v>
      </c>
      <c r="L684" s="3">
        <f t="shared" si="10"/>
        <v>48840.51</v>
      </c>
    </row>
    <row r="685" spans="1:12">
      <c r="A685" t="s">
        <v>711</v>
      </c>
      <c r="B685" t="s">
        <v>38</v>
      </c>
      <c r="C685" s="1">
        <v>44922</v>
      </c>
      <c r="D685" s="1">
        <v>44923</v>
      </c>
      <c r="E685" t="s">
        <v>26</v>
      </c>
      <c r="F685" t="s">
        <v>19</v>
      </c>
      <c r="G685" s="2">
        <v>1748</v>
      </c>
      <c r="H685" s="3">
        <v>68.25</v>
      </c>
      <c r="I685">
        <v>62.84</v>
      </c>
      <c r="J685">
        <v>171</v>
      </c>
      <c r="K685" t="s">
        <v>16</v>
      </c>
      <c r="L685" s="3">
        <f t="shared" si="10"/>
        <v>109844.32</v>
      </c>
    </row>
    <row r="686" spans="1:12">
      <c r="A686" t="s">
        <v>712</v>
      </c>
      <c r="B686" t="s">
        <v>18</v>
      </c>
      <c r="C686" s="1">
        <v>44867</v>
      </c>
      <c r="D686" s="1">
        <v>44871</v>
      </c>
      <c r="E686" t="s">
        <v>14</v>
      </c>
      <c r="F686" t="s">
        <v>15</v>
      </c>
      <c r="G686">
        <v>429</v>
      </c>
      <c r="H686" s="3">
        <v>58.95</v>
      </c>
      <c r="I686">
        <v>55.35</v>
      </c>
      <c r="J686">
        <v>59</v>
      </c>
      <c r="K686" t="s">
        <v>27</v>
      </c>
      <c r="L686" s="3">
        <f t="shared" si="10"/>
        <v>23745.15</v>
      </c>
    </row>
    <row r="687" spans="1:12">
      <c r="A687" t="s">
        <v>713</v>
      </c>
      <c r="B687" t="s">
        <v>21</v>
      </c>
      <c r="C687" s="1">
        <v>44961</v>
      </c>
      <c r="E687" t="s">
        <v>40</v>
      </c>
      <c r="F687" t="s">
        <v>19</v>
      </c>
      <c r="G687" s="2">
        <v>1618</v>
      </c>
      <c r="H687" s="3">
        <v>32.76</v>
      </c>
      <c r="I687">
        <v>28.41</v>
      </c>
      <c r="J687">
        <v>62</v>
      </c>
      <c r="K687" t="s">
        <v>16</v>
      </c>
      <c r="L687" s="3">
        <f t="shared" si="10"/>
        <v>45967.38</v>
      </c>
    </row>
    <row r="688" spans="1:12">
      <c r="A688" t="s">
        <v>714</v>
      </c>
      <c r="B688" t="s">
        <v>38</v>
      </c>
      <c r="C688" s="1">
        <v>44991</v>
      </c>
      <c r="D688" s="1">
        <v>44992</v>
      </c>
      <c r="E688" t="s">
        <v>24</v>
      </c>
      <c r="F688" t="s">
        <v>19</v>
      </c>
      <c r="G688" s="2">
        <v>1006</v>
      </c>
      <c r="H688" s="3">
        <v>27.7</v>
      </c>
      <c r="I688">
        <v>23.66</v>
      </c>
      <c r="J688">
        <v>101</v>
      </c>
      <c r="K688" t="s">
        <v>27</v>
      </c>
      <c r="L688" s="3">
        <f t="shared" si="10"/>
        <v>23801.96</v>
      </c>
    </row>
    <row r="689" spans="1:12">
      <c r="A689" t="s">
        <v>715</v>
      </c>
      <c r="B689" t="s">
        <v>38</v>
      </c>
      <c r="C689" s="1">
        <v>45113</v>
      </c>
      <c r="D689" s="1">
        <v>45122</v>
      </c>
      <c r="E689" t="s">
        <v>40</v>
      </c>
      <c r="F689" t="s">
        <v>33</v>
      </c>
      <c r="G689">
        <v>740</v>
      </c>
      <c r="H689" s="3">
        <v>32.53</v>
      </c>
      <c r="I689">
        <v>29.35</v>
      </c>
      <c r="J689">
        <v>84</v>
      </c>
      <c r="K689" t="s">
        <v>16</v>
      </c>
      <c r="L689" s="3">
        <f t="shared" si="10"/>
        <v>21719</v>
      </c>
    </row>
    <row r="690" spans="1:12">
      <c r="A690" t="s">
        <v>716</v>
      </c>
      <c r="B690" t="s">
        <v>21</v>
      </c>
      <c r="C690" s="1">
        <v>45121</v>
      </c>
      <c r="E690" t="s">
        <v>26</v>
      </c>
      <c r="F690" t="s">
        <v>19</v>
      </c>
      <c r="G690" s="2">
        <v>1500</v>
      </c>
      <c r="H690" s="3">
        <v>29.19</v>
      </c>
      <c r="I690">
        <v>27.24</v>
      </c>
      <c r="J690">
        <v>72</v>
      </c>
      <c r="K690" t="s">
        <v>16</v>
      </c>
      <c r="L690" s="3">
        <f t="shared" si="10"/>
        <v>40860</v>
      </c>
    </row>
    <row r="691" spans="1:12">
      <c r="A691" t="s">
        <v>717</v>
      </c>
      <c r="B691" t="s">
        <v>18</v>
      </c>
      <c r="C691" s="1">
        <v>45179</v>
      </c>
      <c r="D691" s="1">
        <v>45198</v>
      </c>
      <c r="E691" t="s">
        <v>14</v>
      </c>
      <c r="F691" t="s">
        <v>15</v>
      </c>
      <c r="G691" s="2">
        <v>1686</v>
      </c>
      <c r="H691" s="3">
        <v>88.18</v>
      </c>
      <c r="I691">
        <v>77.150000000000006</v>
      </c>
      <c r="K691" t="s">
        <v>16</v>
      </c>
      <c r="L691" s="3">
        <f t="shared" si="10"/>
        <v>130074.90000000001</v>
      </c>
    </row>
    <row r="692" spans="1:12">
      <c r="A692" t="s">
        <v>718</v>
      </c>
      <c r="B692" t="s">
        <v>29</v>
      </c>
      <c r="C692" s="1">
        <v>44787</v>
      </c>
      <c r="D692" s="1">
        <v>44789</v>
      </c>
      <c r="E692" t="s">
        <v>26</v>
      </c>
      <c r="F692" t="s">
        <v>15</v>
      </c>
      <c r="G692" s="2">
        <v>1341</v>
      </c>
      <c r="H692" s="3">
        <v>42.96</v>
      </c>
      <c r="I692">
        <v>41.75</v>
      </c>
      <c r="J692">
        <v>39</v>
      </c>
      <c r="K692" t="s">
        <v>16</v>
      </c>
      <c r="L692" s="3">
        <f t="shared" si="10"/>
        <v>55986.75</v>
      </c>
    </row>
    <row r="693" spans="1:12">
      <c r="A693" t="s">
        <v>719</v>
      </c>
      <c r="B693" t="s">
        <v>13</v>
      </c>
      <c r="C693" s="1">
        <v>45061</v>
      </c>
      <c r="D693" s="1">
        <v>45067</v>
      </c>
      <c r="E693" t="s">
        <v>22</v>
      </c>
      <c r="F693" t="s">
        <v>15</v>
      </c>
      <c r="G693" s="2">
        <v>1908</v>
      </c>
      <c r="H693" s="3">
        <v>16.420000000000002</v>
      </c>
      <c r="I693">
        <v>15.31</v>
      </c>
      <c r="J693">
        <v>36</v>
      </c>
      <c r="K693" t="s">
        <v>16</v>
      </c>
      <c r="L693" s="3">
        <f t="shared" si="10"/>
        <v>29211.48</v>
      </c>
    </row>
    <row r="694" spans="1:12">
      <c r="A694" t="s">
        <v>720</v>
      </c>
      <c r="B694" t="s">
        <v>21</v>
      </c>
      <c r="C694" s="1">
        <v>44786</v>
      </c>
      <c r="D694" s="1">
        <v>44806</v>
      </c>
      <c r="E694" t="s">
        <v>22</v>
      </c>
      <c r="F694" t="s">
        <v>33</v>
      </c>
      <c r="G694" s="2">
        <v>1650</v>
      </c>
      <c r="H694" s="3">
        <v>100.62</v>
      </c>
      <c r="I694">
        <v>90.45</v>
      </c>
      <c r="J694">
        <v>85</v>
      </c>
      <c r="K694" t="s">
        <v>16</v>
      </c>
      <c r="L694" s="3">
        <f t="shared" si="10"/>
        <v>149242.5</v>
      </c>
    </row>
    <row r="695" spans="1:12">
      <c r="A695" t="s">
        <v>721</v>
      </c>
      <c r="B695" t="s">
        <v>13</v>
      </c>
      <c r="C695" s="1">
        <v>44841</v>
      </c>
      <c r="D695" s="1">
        <v>44854</v>
      </c>
      <c r="E695" t="s">
        <v>22</v>
      </c>
      <c r="F695" t="s">
        <v>19</v>
      </c>
      <c r="G695" s="2">
        <v>1490</v>
      </c>
      <c r="H695" s="3">
        <v>93.57</v>
      </c>
      <c r="I695">
        <v>81.680000000000007</v>
      </c>
      <c r="J695">
        <v>29</v>
      </c>
      <c r="K695" t="s">
        <v>16</v>
      </c>
      <c r="L695" s="3">
        <f t="shared" si="10"/>
        <v>121703.20000000001</v>
      </c>
    </row>
    <row r="696" spans="1:12">
      <c r="A696" t="s">
        <v>722</v>
      </c>
      <c r="B696" t="s">
        <v>18</v>
      </c>
      <c r="C696" s="1">
        <v>45008</v>
      </c>
      <c r="D696" s="1">
        <v>45016</v>
      </c>
      <c r="E696" t="s">
        <v>26</v>
      </c>
      <c r="F696" t="s">
        <v>19</v>
      </c>
      <c r="G696" s="2">
        <v>1241</v>
      </c>
      <c r="H696" s="3">
        <v>100.04</v>
      </c>
      <c r="I696">
        <v>97.56</v>
      </c>
      <c r="J696">
        <v>187</v>
      </c>
      <c r="K696" t="s">
        <v>16</v>
      </c>
      <c r="L696" s="3">
        <f t="shared" si="10"/>
        <v>121071.96</v>
      </c>
    </row>
    <row r="697" spans="1:12">
      <c r="A697" t="s">
        <v>723</v>
      </c>
      <c r="B697" t="s">
        <v>38</v>
      </c>
      <c r="C697" s="1">
        <v>45059</v>
      </c>
      <c r="D697" s="1">
        <v>45063</v>
      </c>
      <c r="E697" t="s">
        <v>22</v>
      </c>
      <c r="F697" t="s">
        <v>19</v>
      </c>
      <c r="G697" s="2">
        <v>1915</v>
      </c>
      <c r="H697" s="3">
        <v>107.51</v>
      </c>
      <c r="I697">
        <v>102.66</v>
      </c>
      <c r="J697">
        <v>184</v>
      </c>
      <c r="K697" t="s">
        <v>16</v>
      </c>
      <c r="L697" s="3">
        <f t="shared" si="10"/>
        <v>196593.9</v>
      </c>
    </row>
    <row r="698" spans="1:12">
      <c r="A698" t="s">
        <v>724</v>
      </c>
      <c r="B698" t="s">
        <v>38</v>
      </c>
      <c r="C698" s="1">
        <v>44591</v>
      </c>
      <c r="D698" s="1">
        <v>44606</v>
      </c>
      <c r="E698" t="s">
        <v>26</v>
      </c>
      <c r="F698" t="s">
        <v>19</v>
      </c>
      <c r="G698" s="2">
        <v>1116</v>
      </c>
      <c r="H698" s="3">
        <v>25.65</v>
      </c>
      <c r="I698">
        <v>24.28</v>
      </c>
      <c r="J698">
        <v>121</v>
      </c>
      <c r="K698" t="s">
        <v>16</v>
      </c>
      <c r="L698" s="3">
        <f t="shared" si="10"/>
        <v>27096.48</v>
      </c>
    </row>
    <row r="699" spans="1:12">
      <c r="A699" t="s">
        <v>725</v>
      </c>
      <c r="B699" t="s">
        <v>18</v>
      </c>
      <c r="C699" s="1">
        <v>44960</v>
      </c>
      <c r="D699" s="1">
        <v>44965</v>
      </c>
      <c r="E699" t="s">
        <v>26</v>
      </c>
      <c r="F699" t="s">
        <v>19</v>
      </c>
      <c r="G699" s="2">
        <v>1629</v>
      </c>
      <c r="H699" s="3">
        <v>48.63</v>
      </c>
      <c r="I699">
        <v>43.28</v>
      </c>
      <c r="J699">
        <v>260</v>
      </c>
      <c r="K699" t="s">
        <v>16</v>
      </c>
      <c r="L699" s="3">
        <f t="shared" si="10"/>
        <v>70503.12</v>
      </c>
    </row>
    <row r="700" spans="1:12">
      <c r="A700" t="s">
        <v>726</v>
      </c>
      <c r="B700" t="s">
        <v>29</v>
      </c>
      <c r="C700" s="1">
        <v>44906</v>
      </c>
      <c r="D700" s="1">
        <v>44913</v>
      </c>
      <c r="E700" t="s">
        <v>14</v>
      </c>
      <c r="F700" t="s">
        <v>19</v>
      </c>
      <c r="G700">
        <v>334</v>
      </c>
      <c r="H700" s="3">
        <v>82.54</v>
      </c>
      <c r="I700">
        <v>74.63</v>
      </c>
      <c r="K700" t="s">
        <v>16</v>
      </c>
      <c r="L700" s="3">
        <f t="shared" si="10"/>
        <v>24926.42</v>
      </c>
    </row>
    <row r="701" spans="1:12">
      <c r="A701" t="s">
        <v>727</v>
      </c>
      <c r="B701" t="s">
        <v>29</v>
      </c>
      <c r="C701" s="1">
        <v>45246</v>
      </c>
      <c r="D701" s="1">
        <v>45266</v>
      </c>
      <c r="E701" t="s">
        <v>24</v>
      </c>
      <c r="F701" t="s">
        <v>19</v>
      </c>
      <c r="G701">
        <v>446</v>
      </c>
      <c r="H701" s="3">
        <v>80.63</v>
      </c>
      <c r="I701">
        <v>70.37</v>
      </c>
      <c r="K701" t="s">
        <v>16</v>
      </c>
      <c r="L701" s="3">
        <f t="shared" si="10"/>
        <v>31385.02</v>
      </c>
    </row>
    <row r="702" spans="1:12">
      <c r="A702" t="s">
        <v>728</v>
      </c>
      <c r="B702" t="s">
        <v>18</v>
      </c>
      <c r="C702" s="1">
        <v>45257</v>
      </c>
      <c r="E702" t="s">
        <v>40</v>
      </c>
      <c r="F702" t="s">
        <v>19</v>
      </c>
      <c r="G702">
        <v>61</v>
      </c>
      <c r="H702" s="3">
        <v>26.47</v>
      </c>
      <c r="I702">
        <v>24.62</v>
      </c>
      <c r="J702">
        <v>6</v>
      </c>
      <c r="K702" t="s">
        <v>16</v>
      </c>
      <c r="L702" s="3">
        <f t="shared" si="10"/>
        <v>1501.8200000000002</v>
      </c>
    </row>
    <row r="703" spans="1:12">
      <c r="A703" t="s">
        <v>729</v>
      </c>
      <c r="B703" t="s">
        <v>18</v>
      </c>
      <c r="C703" s="1">
        <v>44976</v>
      </c>
      <c r="D703" s="1">
        <v>44978</v>
      </c>
      <c r="E703" t="s">
        <v>24</v>
      </c>
      <c r="F703" t="s">
        <v>19</v>
      </c>
      <c r="G703" s="2">
        <v>1680</v>
      </c>
      <c r="H703" s="3">
        <v>88.85</v>
      </c>
      <c r="I703">
        <v>87.53</v>
      </c>
      <c r="K703" t="s">
        <v>16</v>
      </c>
      <c r="L703" s="3">
        <f t="shared" si="10"/>
        <v>147050.4</v>
      </c>
    </row>
    <row r="704" spans="1:12">
      <c r="A704" t="s">
        <v>730</v>
      </c>
      <c r="B704" t="s">
        <v>18</v>
      </c>
      <c r="C704" s="1">
        <v>44731</v>
      </c>
      <c r="D704" s="1">
        <v>44748</v>
      </c>
      <c r="E704" t="s">
        <v>40</v>
      </c>
      <c r="F704" t="s">
        <v>19</v>
      </c>
      <c r="G704" s="2">
        <v>1375</v>
      </c>
      <c r="H704" s="3">
        <v>30.95</v>
      </c>
      <c r="I704">
        <v>30.02</v>
      </c>
      <c r="J704">
        <v>223</v>
      </c>
      <c r="K704" t="s">
        <v>16</v>
      </c>
      <c r="L704" s="3">
        <f t="shared" si="10"/>
        <v>41277.5</v>
      </c>
    </row>
    <row r="705" spans="1:12">
      <c r="A705" t="s">
        <v>731</v>
      </c>
      <c r="B705" t="s">
        <v>18</v>
      </c>
      <c r="C705" s="1">
        <v>45040</v>
      </c>
      <c r="D705" s="1">
        <v>45051</v>
      </c>
      <c r="E705" t="s">
        <v>40</v>
      </c>
      <c r="F705" t="s">
        <v>33</v>
      </c>
      <c r="G705" s="2">
        <v>1971</v>
      </c>
      <c r="H705" s="3">
        <v>32.4</v>
      </c>
      <c r="I705">
        <v>30.48</v>
      </c>
      <c r="J705">
        <v>321</v>
      </c>
      <c r="K705" t="s">
        <v>16</v>
      </c>
      <c r="L705" s="3">
        <f t="shared" si="10"/>
        <v>60076.08</v>
      </c>
    </row>
    <row r="706" spans="1:12">
      <c r="A706" t="s">
        <v>732</v>
      </c>
      <c r="B706" t="s">
        <v>18</v>
      </c>
      <c r="C706" s="1">
        <v>44692</v>
      </c>
      <c r="E706" t="s">
        <v>26</v>
      </c>
      <c r="F706" t="s">
        <v>35</v>
      </c>
      <c r="G706" s="2">
        <v>1326</v>
      </c>
      <c r="H706" s="3">
        <v>59.49</v>
      </c>
      <c r="I706">
        <v>56.21</v>
      </c>
      <c r="K706" t="s">
        <v>16</v>
      </c>
      <c r="L706" s="3">
        <f t="shared" si="10"/>
        <v>74534.460000000006</v>
      </c>
    </row>
    <row r="707" spans="1:12">
      <c r="A707" t="s">
        <v>733</v>
      </c>
      <c r="B707" t="s">
        <v>18</v>
      </c>
      <c r="C707" s="1">
        <v>45199</v>
      </c>
      <c r="D707" s="1">
        <v>45212</v>
      </c>
      <c r="E707" t="s">
        <v>22</v>
      </c>
      <c r="F707" t="s">
        <v>15</v>
      </c>
      <c r="G707">
        <v>548</v>
      </c>
      <c r="H707" s="3">
        <v>69.7</v>
      </c>
      <c r="I707">
        <v>61.87</v>
      </c>
      <c r="J707">
        <v>90</v>
      </c>
      <c r="K707" t="s">
        <v>16</v>
      </c>
      <c r="L707" s="3">
        <f t="shared" ref="L707:L770" si="11">I707*G707</f>
        <v>33904.76</v>
      </c>
    </row>
    <row r="708" spans="1:12">
      <c r="A708" t="s">
        <v>734</v>
      </c>
      <c r="B708" t="s">
        <v>38</v>
      </c>
      <c r="C708" s="1">
        <v>45108</v>
      </c>
      <c r="D708" s="1">
        <v>45114</v>
      </c>
      <c r="E708" t="s">
        <v>22</v>
      </c>
      <c r="F708" t="s">
        <v>19</v>
      </c>
      <c r="G708">
        <v>803</v>
      </c>
      <c r="H708" s="3">
        <v>67.81</v>
      </c>
      <c r="I708">
        <v>61.53</v>
      </c>
      <c r="J708">
        <v>78</v>
      </c>
      <c r="K708" t="s">
        <v>16</v>
      </c>
      <c r="L708" s="3">
        <f t="shared" si="11"/>
        <v>49408.590000000004</v>
      </c>
    </row>
    <row r="709" spans="1:12">
      <c r="A709" t="s">
        <v>735</v>
      </c>
      <c r="B709" t="s">
        <v>13</v>
      </c>
      <c r="C709" s="1">
        <v>44589</v>
      </c>
      <c r="D709" s="1">
        <v>44607</v>
      </c>
      <c r="E709" t="s">
        <v>22</v>
      </c>
      <c r="F709" t="s">
        <v>19</v>
      </c>
      <c r="G709">
        <v>84</v>
      </c>
      <c r="H709" s="3">
        <v>18.23</v>
      </c>
      <c r="I709">
        <v>15.55</v>
      </c>
      <c r="J709">
        <v>0</v>
      </c>
      <c r="K709" t="s">
        <v>16</v>
      </c>
      <c r="L709" s="3">
        <f t="shared" si="11"/>
        <v>1306.2</v>
      </c>
    </row>
    <row r="710" spans="1:12">
      <c r="A710" t="s">
        <v>736</v>
      </c>
      <c r="B710" t="s">
        <v>29</v>
      </c>
      <c r="C710" s="1">
        <v>44965</v>
      </c>
      <c r="D710" s="1">
        <v>44977</v>
      </c>
      <c r="E710" t="s">
        <v>24</v>
      </c>
      <c r="F710" t="s">
        <v>19</v>
      </c>
      <c r="G710">
        <v>776</v>
      </c>
      <c r="H710" s="3">
        <v>94.75</v>
      </c>
      <c r="I710">
        <v>90.89</v>
      </c>
      <c r="J710">
        <v>19</v>
      </c>
      <c r="K710" t="s">
        <v>16</v>
      </c>
      <c r="L710" s="3">
        <f t="shared" si="11"/>
        <v>70530.64</v>
      </c>
    </row>
    <row r="711" spans="1:12">
      <c r="A711" t="s">
        <v>737</v>
      </c>
      <c r="B711" t="s">
        <v>13</v>
      </c>
      <c r="C711" s="1">
        <v>45168</v>
      </c>
      <c r="D711" s="1">
        <v>45177</v>
      </c>
      <c r="E711" t="s">
        <v>22</v>
      </c>
      <c r="F711" t="s">
        <v>19</v>
      </c>
      <c r="G711">
        <v>898</v>
      </c>
      <c r="H711" s="3">
        <v>37.119999999999997</v>
      </c>
      <c r="I711">
        <v>35.54</v>
      </c>
      <c r="J711">
        <v>18</v>
      </c>
      <c r="K711" t="s">
        <v>27</v>
      </c>
      <c r="L711" s="3">
        <f t="shared" si="11"/>
        <v>31914.92</v>
      </c>
    </row>
    <row r="712" spans="1:12">
      <c r="A712" t="s">
        <v>738</v>
      </c>
      <c r="B712" t="s">
        <v>38</v>
      </c>
      <c r="C712" s="1">
        <v>45139</v>
      </c>
      <c r="D712" s="1">
        <v>45146</v>
      </c>
      <c r="E712" t="s">
        <v>14</v>
      </c>
      <c r="F712" t="s">
        <v>15</v>
      </c>
      <c r="G712">
        <v>139</v>
      </c>
      <c r="H712" s="3">
        <v>23.71</v>
      </c>
      <c r="I712">
        <v>20.18</v>
      </c>
      <c r="J712">
        <v>14</v>
      </c>
      <c r="K712" t="s">
        <v>16</v>
      </c>
      <c r="L712" s="3">
        <f t="shared" si="11"/>
        <v>2805.02</v>
      </c>
    </row>
    <row r="713" spans="1:12">
      <c r="A713" t="s">
        <v>739</v>
      </c>
      <c r="B713" t="s">
        <v>21</v>
      </c>
      <c r="C713" s="1">
        <v>45240</v>
      </c>
      <c r="E713" t="s">
        <v>26</v>
      </c>
      <c r="F713" t="s">
        <v>19</v>
      </c>
      <c r="G713">
        <v>825</v>
      </c>
      <c r="H713" s="3">
        <v>99.89</v>
      </c>
      <c r="I713">
        <v>97.65</v>
      </c>
      <c r="J713">
        <v>30</v>
      </c>
      <c r="K713" t="s">
        <v>16</v>
      </c>
      <c r="L713" s="3">
        <f t="shared" si="11"/>
        <v>80561.25</v>
      </c>
    </row>
    <row r="714" spans="1:12">
      <c r="A714" t="s">
        <v>740</v>
      </c>
      <c r="B714" t="s">
        <v>13</v>
      </c>
      <c r="C714" s="1">
        <v>44589</v>
      </c>
      <c r="D714" s="1">
        <v>44599</v>
      </c>
      <c r="E714" t="s">
        <v>22</v>
      </c>
      <c r="F714" t="s">
        <v>19</v>
      </c>
      <c r="G714">
        <v>654</v>
      </c>
      <c r="H714" s="3">
        <v>96.01</v>
      </c>
      <c r="I714">
        <v>90.31</v>
      </c>
      <c r="J714">
        <v>10</v>
      </c>
      <c r="K714" t="s">
        <v>16</v>
      </c>
      <c r="L714" s="3">
        <f t="shared" si="11"/>
        <v>59062.74</v>
      </c>
    </row>
    <row r="715" spans="1:12">
      <c r="A715" t="s">
        <v>741</v>
      </c>
      <c r="B715" t="s">
        <v>21</v>
      </c>
      <c r="C715" s="1">
        <v>44647</v>
      </c>
      <c r="D715" s="1">
        <v>44657</v>
      </c>
      <c r="E715" t="s">
        <v>22</v>
      </c>
      <c r="F715" t="s">
        <v>19</v>
      </c>
      <c r="G715" s="2">
        <v>1995</v>
      </c>
      <c r="H715" s="3">
        <v>88.47</v>
      </c>
      <c r="I715">
        <v>82.65</v>
      </c>
      <c r="J715">
        <v>87</v>
      </c>
      <c r="K715" t="s">
        <v>27</v>
      </c>
      <c r="L715" s="3">
        <f t="shared" si="11"/>
        <v>164886.75</v>
      </c>
    </row>
    <row r="716" spans="1:12">
      <c r="A716" t="s">
        <v>742</v>
      </c>
      <c r="B716" t="s">
        <v>38</v>
      </c>
      <c r="C716" s="1">
        <v>45220</v>
      </c>
      <c r="D716" s="1">
        <v>45227</v>
      </c>
      <c r="E716" t="s">
        <v>22</v>
      </c>
      <c r="F716" t="s">
        <v>19</v>
      </c>
      <c r="G716" s="2">
        <v>1019</v>
      </c>
      <c r="H716" s="3">
        <v>91.56</v>
      </c>
      <c r="I716">
        <v>77.930000000000007</v>
      </c>
      <c r="J716">
        <v>111</v>
      </c>
      <c r="K716" t="s">
        <v>27</v>
      </c>
      <c r="L716" s="3">
        <f t="shared" si="11"/>
        <v>79410.670000000013</v>
      </c>
    </row>
    <row r="717" spans="1:12">
      <c r="A717" t="s">
        <v>743</v>
      </c>
      <c r="B717" t="s">
        <v>29</v>
      </c>
      <c r="C717" s="1">
        <v>45000</v>
      </c>
      <c r="D717" s="1">
        <v>45016</v>
      </c>
      <c r="E717" t="s">
        <v>24</v>
      </c>
      <c r="F717" t="s">
        <v>35</v>
      </c>
      <c r="G717" s="2">
        <v>1675</v>
      </c>
      <c r="H717" s="3">
        <v>73.8</v>
      </c>
      <c r="I717">
        <v>65.34</v>
      </c>
      <c r="J717">
        <v>42</v>
      </c>
      <c r="K717" t="s">
        <v>16</v>
      </c>
      <c r="L717" s="3">
        <f t="shared" si="11"/>
        <v>109444.5</v>
      </c>
    </row>
    <row r="718" spans="1:12">
      <c r="A718" t="s">
        <v>744</v>
      </c>
      <c r="B718" t="s">
        <v>21</v>
      </c>
      <c r="C718" s="1">
        <v>44700</v>
      </c>
      <c r="D718" s="1">
        <v>44712</v>
      </c>
      <c r="E718" t="s">
        <v>26</v>
      </c>
      <c r="F718" t="s">
        <v>35</v>
      </c>
      <c r="G718" s="2">
        <v>1071</v>
      </c>
      <c r="H718" s="3">
        <v>60.77</v>
      </c>
      <c r="I718">
        <v>58.5</v>
      </c>
      <c r="K718" t="s">
        <v>16</v>
      </c>
      <c r="L718" s="3">
        <f t="shared" si="11"/>
        <v>62653.5</v>
      </c>
    </row>
    <row r="719" spans="1:12">
      <c r="A719" t="s">
        <v>745</v>
      </c>
      <c r="B719" t="s">
        <v>38</v>
      </c>
      <c r="C719" s="1">
        <v>45034</v>
      </c>
      <c r="D719" s="1">
        <v>45043</v>
      </c>
      <c r="E719" t="s">
        <v>14</v>
      </c>
      <c r="F719" t="s">
        <v>19</v>
      </c>
      <c r="G719">
        <v>467</v>
      </c>
      <c r="H719" s="3">
        <v>19.170000000000002</v>
      </c>
      <c r="I719">
        <v>17.11</v>
      </c>
      <c r="J719">
        <v>49</v>
      </c>
      <c r="K719" t="s">
        <v>16</v>
      </c>
      <c r="L719" s="3">
        <f t="shared" si="11"/>
        <v>7990.37</v>
      </c>
    </row>
    <row r="720" spans="1:12">
      <c r="A720" t="s">
        <v>746</v>
      </c>
      <c r="B720" t="s">
        <v>18</v>
      </c>
      <c r="C720" s="1">
        <v>44748</v>
      </c>
      <c r="D720" s="1">
        <v>44767</v>
      </c>
      <c r="E720" t="s">
        <v>22</v>
      </c>
      <c r="F720" t="s">
        <v>35</v>
      </c>
      <c r="G720">
        <v>164</v>
      </c>
      <c r="H720" s="3">
        <v>48.16</v>
      </c>
      <c r="I720">
        <v>47.46</v>
      </c>
      <c r="J720">
        <v>27</v>
      </c>
      <c r="K720" t="s">
        <v>16</v>
      </c>
      <c r="L720" s="3">
        <f t="shared" si="11"/>
        <v>7783.4400000000005</v>
      </c>
    </row>
    <row r="721" spans="1:12">
      <c r="A721" t="s">
        <v>747</v>
      </c>
      <c r="B721" t="s">
        <v>29</v>
      </c>
      <c r="C721" s="1">
        <v>44613</v>
      </c>
      <c r="D721" s="1">
        <v>44626</v>
      </c>
      <c r="E721" t="s">
        <v>40</v>
      </c>
      <c r="F721" t="s">
        <v>15</v>
      </c>
      <c r="G721">
        <v>666</v>
      </c>
      <c r="H721" s="3">
        <v>43.76</v>
      </c>
      <c r="I721">
        <v>41.13</v>
      </c>
      <c r="J721">
        <v>18</v>
      </c>
      <c r="K721" t="s">
        <v>16</v>
      </c>
      <c r="L721" s="3">
        <f t="shared" si="11"/>
        <v>27392.58</v>
      </c>
    </row>
    <row r="722" spans="1:12">
      <c r="A722" t="s">
        <v>748</v>
      </c>
      <c r="B722" t="s">
        <v>18</v>
      </c>
      <c r="C722" s="1">
        <v>44828</v>
      </c>
      <c r="D722" s="1">
        <v>44841</v>
      </c>
      <c r="E722" t="s">
        <v>24</v>
      </c>
      <c r="F722" t="s">
        <v>33</v>
      </c>
      <c r="G722" s="2">
        <v>1976</v>
      </c>
      <c r="H722" s="3">
        <v>34.71</v>
      </c>
      <c r="I722">
        <v>31.56</v>
      </c>
      <c r="J722">
        <v>286</v>
      </c>
      <c r="K722" t="s">
        <v>27</v>
      </c>
      <c r="L722" s="3">
        <f t="shared" si="11"/>
        <v>62362.559999999998</v>
      </c>
    </row>
    <row r="723" spans="1:12">
      <c r="A723" t="s">
        <v>749</v>
      </c>
      <c r="B723" t="s">
        <v>29</v>
      </c>
      <c r="C723" s="1">
        <v>44950</v>
      </c>
      <c r="D723" s="1">
        <v>44955</v>
      </c>
      <c r="E723" t="s">
        <v>22</v>
      </c>
      <c r="F723" t="s">
        <v>19</v>
      </c>
      <c r="G723" s="2">
        <v>1269</v>
      </c>
      <c r="H723" s="3">
        <v>79.61</v>
      </c>
      <c r="I723">
        <v>71.86</v>
      </c>
      <c r="J723">
        <v>47</v>
      </c>
      <c r="K723" t="s">
        <v>16</v>
      </c>
      <c r="L723" s="3">
        <f t="shared" si="11"/>
        <v>91190.34</v>
      </c>
    </row>
    <row r="724" spans="1:12">
      <c r="A724" t="s">
        <v>750</v>
      </c>
      <c r="B724" t="s">
        <v>29</v>
      </c>
      <c r="C724" s="1">
        <v>44897</v>
      </c>
      <c r="D724" s="1">
        <v>44907</v>
      </c>
      <c r="E724" t="s">
        <v>22</v>
      </c>
      <c r="F724" t="s">
        <v>19</v>
      </c>
      <c r="G724">
        <v>875</v>
      </c>
      <c r="H724" s="3">
        <v>57.63</v>
      </c>
      <c r="I724">
        <v>51.8</v>
      </c>
      <c r="J724">
        <v>16</v>
      </c>
      <c r="K724" t="s">
        <v>16</v>
      </c>
      <c r="L724" s="3">
        <f t="shared" si="11"/>
        <v>45325</v>
      </c>
    </row>
    <row r="725" spans="1:12">
      <c r="A725" t="s">
        <v>751</v>
      </c>
      <c r="B725" t="s">
        <v>13</v>
      </c>
      <c r="C725" s="1">
        <v>44778</v>
      </c>
      <c r="E725" t="s">
        <v>24</v>
      </c>
      <c r="F725" t="s">
        <v>33</v>
      </c>
      <c r="G725" s="2">
        <v>1574</v>
      </c>
      <c r="H725" s="3">
        <v>17.899999999999999</v>
      </c>
      <c r="I725">
        <v>15.85</v>
      </c>
      <c r="J725">
        <v>31</v>
      </c>
      <c r="K725" t="s">
        <v>16</v>
      </c>
      <c r="L725" s="3">
        <f t="shared" si="11"/>
        <v>24947.899999999998</v>
      </c>
    </row>
    <row r="726" spans="1:12">
      <c r="A726" t="s">
        <v>752</v>
      </c>
      <c r="B726" t="s">
        <v>29</v>
      </c>
      <c r="C726" s="1">
        <v>45027</v>
      </c>
      <c r="D726" s="1">
        <v>45042</v>
      </c>
      <c r="E726" t="s">
        <v>14</v>
      </c>
      <c r="F726" t="s">
        <v>33</v>
      </c>
      <c r="G726" s="2">
        <v>1699</v>
      </c>
      <c r="H726" s="3">
        <v>32.049999999999997</v>
      </c>
      <c r="I726">
        <v>29.34</v>
      </c>
      <c r="J726">
        <v>69</v>
      </c>
      <c r="K726" t="s">
        <v>16</v>
      </c>
      <c r="L726" s="3">
        <f t="shared" si="11"/>
        <v>49848.659999999996</v>
      </c>
    </row>
    <row r="727" spans="1:12">
      <c r="A727" t="s">
        <v>753</v>
      </c>
      <c r="B727" t="s">
        <v>13</v>
      </c>
      <c r="C727" s="1">
        <v>44896</v>
      </c>
      <c r="D727" s="1">
        <v>44912</v>
      </c>
      <c r="E727" t="s">
        <v>40</v>
      </c>
      <c r="F727" t="s">
        <v>19</v>
      </c>
      <c r="G727" s="2">
        <v>1566</v>
      </c>
      <c r="H727" s="3">
        <v>75.430000000000007</v>
      </c>
      <c r="I727">
        <v>71.27</v>
      </c>
      <c r="J727">
        <v>27</v>
      </c>
      <c r="K727" t="s">
        <v>16</v>
      </c>
      <c r="L727" s="3">
        <f t="shared" si="11"/>
        <v>111608.81999999999</v>
      </c>
    </row>
    <row r="728" spans="1:12">
      <c r="A728" t="s">
        <v>754</v>
      </c>
      <c r="B728" t="s">
        <v>21</v>
      </c>
      <c r="C728" s="1">
        <v>44907</v>
      </c>
      <c r="D728" s="1">
        <v>44925</v>
      </c>
      <c r="E728" t="s">
        <v>40</v>
      </c>
      <c r="F728" t="s">
        <v>19</v>
      </c>
      <c r="G728" s="2">
        <v>1148</v>
      </c>
      <c r="H728" s="3">
        <v>17.78</v>
      </c>
      <c r="I728">
        <v>17.16</v>
      </c>
      <c r="J728">
        <v>61</v>
      </c>
      <c r="K728" t="s">
        <v>16</v>
      </c>
      <c r="L728" s="3">
        <f t="shared" si="11"/>
        <v>19699.68</v>
      </c>
    </row>
    <row r="729" spans="1:12">
      <c r="A729" t="s">
        <v>755</v>
      </c>
      <c r="B729" t="s">
        <v>29</v>
      </c>
      <c r="C729" s="1">
        <v>44950</v>
      </c>
      <c r="D729" s="1">
        <v>44968</v>
      </c>
      <c r="E729" t="s">
        <v>14</v>
      </c>
      <c r="F729" t="s">
        <v>19</v>
      </c>
      <c r="G729">
        <v>462</v>
      </c>
      <c r="H729" s="3">
        <v>91.81</v>
      </c>
      <c r="I729">
        <v>83.14</v>
      </c>
      <c r="J729">
        <v>11</v>
      </c>
      <c r="K729" t="s">
        <v>16</v>
      </c>
      <c r="L729" s="3">
        <f t="shared" si="11"/>
        <v>38410.68</v>
      </c>
    </row>
    <row r="730" spans="1:12">
      <c r="A730" t="s">
        <v>756</v>
      </c>
      <c r="B730" t="s">
        <v>21</v>
      </c>
      <c r="C730" s="1">
        <v>44846</v>
      </c>
      <c r="D730" s="1">
        <v>44851</v>
      </c>
      <c r="E730" t="s">
        <v>24</v>
      </c>
      <c r="F730" t="s">
        <v>19</v>
      </c>
      <c r="G730" s="2">
        <v>1449</v>
      </c>
      <c r="H730" s="3">
        <v>57.02</v>
      </c>
      <c r="I730">
        <v>49.28</v>
      </c>
      <c r="J730">
        <v>71</v>
      </c>
      <c r="K730" t="s">
        <v>16</v>
      </c>
      <c r="L730" s="3">
        <f t="shared" si="11"/>
        <v>71406.720000000001</v>
      </c>
    </row>
    <row r="731" spans="1:12">
      <c r="A731" t="s">
        <v>757</v>
      </c>
      <c r="B731" t="s">
        <v>29</v>
      </c>
      <c r="C731" s="1">
        <v>44993</v>
      </c>
      <c r="D731" s="1">
        <v>45012</v>
      </c>
      <c r="E731" t="s">
        <v>22</v>
      </c>
      <c r="F731" t="s">
        <v>19</v>
      </c>
      <c r="G731" s="2">
        <v>1493</v>
      </c>
      <c r="H731" s="3">
        <v>56.98</v>
      </c>
      <c r="I731">
        <v>52.51</v>
      </c>
      <c r="J731">
        <v>43</v>
      </c>
      <c r="K731" t="s">
        <v>16</v>
      </c>
      <c r="L731" s="3">
        <f t="shared" si="11"/>
        <v>78397.429999999993</v>
      </c>
    </row>
    <row r="732" spans="1:12">
      <c r="A732" t="s">
        <v>758</v>
      </c>
      <c r="B732" t="s">
        <v>13</v>
      </c>
      <c r="C732" s="1">
        <v>44820</v>
      </c>
      <c r="D732" s="1">
        <v>44822</v>
      </c>
      <c r="E732" t="s">
        <v>14</v>
      </c>
      <c r="F732" t="s">
        <v>19</v>
      </c>
      <c r="G732">
        <v>778</v>
      </c>
      <c r="H732" s="3">
        <v>65.849999999999994</v>
      </c>
      <c r="I732">
        <v>62.08</v>
      </c>
      <c r="K732" t="s">
        <v>27</v>
      </c>
      <c r="L732" s="3">
        <f t="shared" si="11"/>
        <v>48298.239999999998</v>
      </c>
    </row>
    <row r="733" spans="1:12">
      <c r="A733" t="s">
        <v>759</v>
      </c>
      <c r="B733" t="s">
        <v>18</v>
      </c>
      <c r="C733" s="1">
        <v>44645</v>
      </c>
      <c r="D733" s="1">
        <v>44662</v>
      </c>
      <c r="E733" t="s">
        <v>24</v>
      </c>
      <c r="F733" t="s">
        <v>33</v>
      </c>
      <c r="G733" s="2">
        <v>1350</v>
      </c>
      <c r="H733" s="3">
        <v>85.06</v>
      </c>
      <c r="I733">
        <v>82.34</v>
      </c>
      <c r="K733" t="s">
        <v>27</v>
      </c>
      <c r="L733" s="3">
        <f t="shared" si="11"/>
        <v>111159</v>
      </c>
    </row>
    <row r="734" spans="1:12">
      <c r="A734" t="s">
        <v>760</v>
      </c>
      <c r="B734" t="s">
        <v>29</v>
      </c>
      <c r="C734" s="1">
        <v>45043</v>
      </c>
      <c r="D734" s="1">
        <v>45051</v>
      </c>
      <c r="E734" t="s">
        <v>24</v>
      </c>
      <c r="F734" t="s">
        <v>19</v>
      </c>
      <c r="G734" s="2">
        <v>1070</v>
      </c>
      <c r="H734" s="3">
        <v>44.4</v>
      </c>
      <c r="I734">
        <v>40.07</v>
      </c>
      <c r="J734">
        <v>26</v>
      </c>
      <c r="K734" t="s">
        <v>16</v>
      </c>
      <c r="L734" s="3">
        <f t="shared" si="11"/>
        <v>42874.9</v>
      </c>
    </row>
    <row r="735" spans="1:12">
      <c r="A735" t="s">
        <v>761</v>
      </c>
      <c r="B735" t="s">
        <v>38</v>
      </c>
      <c r="C735" s="1">
        <v>44581</v>
      </c>
      <c r="D735" s="1">
        <v>44595</v>
      </c>
      <c r="E735" t="s">
        <v>24</v>
      </c>
      <c r="F735" t="s">
        <v>35</v>
      </c>
      <c r="G735">
        <v>810</v>
      </c>
      <c r="H735" s="3">
        <v>71.02</v>
      </c>
      <c r="I735">
        <v>66.8</v>
      </c>
      <c r="J735">
        <v>73</v>
      </c>
      <c r="K735" t="s">
        <v>16</v>
      </c>
      <c r="L735" s="3">
        <f t="shared" si="11"/>
        <v>54108</v>
      </c>
    </row>
    <row r="736" spans="1:12">
      <c r="A736" t="s">
        <v>762</v>
      </c>
      <c r="B736" t="s">
        <v>18</v>
      </c>
      <c r="C736" s="1">
        <v>45114</v>
      </c>
      <c r="D736" s="1">
        <v>45130</v>
      </c>
      <c r="E736" t="s">
        <v>24</v>
      </c>
      <c r="F736" t="s">
        <v>15</v>
      </c>
      <c r="G736">
        <v>725</v>
      </c>
      <c r="H736" s="3">
        <v>66.400000000000006</v>
      </c>
      <c r="I736">
        <v>62.1</v>
      </c>
      <c r="J736">
        <v>118</v>
      </c>
      <c r="K736" t="s">
        <v>16</v>
      </c>
      <c r="L736" s="3">
        <f t="shared" si="11"/>
        <v>45022.5</v>
      </c>
    </row>
    <row r="737" spans="1:12">
      <c r="A737" t="s">
        <v>763</v>
      </c>
      <c r="B737" t="s">
        <v>13</v>
      </c>
      <c r="C737" s="1">
        <v>44615</v>
      </c>
      <c r="D737" s="1">
        <v>44620</v>
      </c>
      <c r="E737" t="s">
        <v>40</v>
      </c>
      <c r="F737" t="s">
        <v>19</v>
      </c>
      <c r="G737" s="2">
        <v>1467</v>
      </c>
      <c r="H737" s="3">
        <v>34.200000000000003</v>
      </c>
      <c r="I737">
        <v>30.5</v>
      </c>
      <c r="J737">
        <v>25</v>
      </c>
      <c r="K737" t="s">
        <v>16</v>
      </c>
      <c r="L737" s="3">
        <f t="shared" si="11"/>
        <v>44743.5</v>
      </c>
    </row>
    <row r="738" spans="1:12">
      <c r="A738" t="s">
        <v>764</v>
      </c>
      <c r="B738" t="s">
        <v>38</v>
      </c>
      <c r="C738" s="1">
        <v>44920</v>
      </c>
      <c r="D738" s="1">
        <v>44938</v>
      </c>
      <c r="E738" t="s">
        <v>24</v>
      </c>
      <c r="F738" t="s">
        <v>19</v>
      </c>
      <c r="G738" s="2">
        <v>1942</v>
      </c>
      <c r="H738" s="3">
        <v>93.98</v>
      </c>
      <c r="I738">
        <v>81.31</v>
      </c>
      <c r="J738">
        <v>198</v>
      </c>
      <c r="K738" t="s">
        <v>16</v>
      </c>
      <c r="L738" s="3">
        <f t="shared" si="11"/>
        <v>157904.02000000002</v>
      </c>
    </row>
    <row r="739" spans="1:12">
      <c r="A739" t="s">
        <v>765</v>
      </c>
      <c r="B739" t="s">
        <v>21</v>
      </c>
      <c r="C739" s="1">
        <v>44791</v>
      </c>
      <c r="E739" t="s">
        <v>14</v>
      </c>
      <c r="F739" t="s">
        <v>19</v>
      </c>
      <c r="G739">
        <v>506</v>
      </c>
      <c r="H739" s="3">
        <v>84.63</v>
      </c>
      <c r="I739">
        <v>72.69</v>
      </c>
      <c r="J739">
        <v>20</v>
      </c>
      <c r="K739" t="s">
        <v>16</v>
      </c>
      <c r="L739" s="3">
        <f t="shared" si="11"/>
        <v>36781.14</v>
      </c>
    </row>
    <row r="740" spans="1:12">
      <c r="A740" t="s">
        <v>766</v>
      </c>
      <c r="B740" t="s">
        <v>13</v>
      </c>
      <c r="C740" s="1">
        <v>45227</v>
      </c>
      <c r="D740" s="1">
        <v>45243</v>
      </c>
      <c r="E740" t="s">
        <v>22</v>
      </c>
      <c r="F740" t="s">
        <v>19</v>
      </c>
      <c r="G740">
        <v>969</v>
      </c>
      <c r="H740" s="3">
        <v>76.53</v>
      </c>
      <c r="I740">
        <v>75.64</v>
      </c>
      <c r="J740">
        <v>30</v>
      </c>
      <c r="K740" t="s">
        <v>16</v>
      </c>
      <c r="L740" s="3">
        <f t="shared" si="11"/>
        <v>73295.16</v>
      </c>
    </row>
    <row r="741" spans="1:12">
      <c r="A741" t="s">
        <v>767</v>
      </c>
      <c r="B741" t="s">
        <v>18</v>
      </c>
      <c r="C741" s="1">
        <v>44632</v>
      </c>
      <c r="D741" s="1">
        <v>44639</v>
      </c>
      <c r="E741" t="s">
        <v>22</v>
      </c>
      <c r="F741" t="s">
        <v>19</v>
      </c>
      <c r="G741">
        <v>241</v>
      </c>
      <c r="H741" s="3">
        <v>87.42</v>
      </c>
      <c r="I741">
        <v>82.15</v>
      </c>
      <c r="K741" t="s">
        <v>16</v>
      </c>
      <c r="L741" s="3">
        <f t="shared" si="11"/>
        <v>19798.150000000001</v>
      </c>
    </row>
    <row r="742" spans="1:12">
      <c r="A742" t="s">
        <v>768</v>
      </c>
      <c r="B742" t="s">
        <v>21</v>
      </c>
      <c r="C742" s="1">
        <v>45229</v>
      </c>
      <c r="D742" s="1">
        <v>45239</v>
      </c>
      <c r="E742" t="s">
        <v>26</v>
      </c>
      <c r="F742" t="s">
        <v>19</v>
      </c>
      <c r="G742">
        <v>788</v>
      </c>
      <c r="H742" s="3">
        <v>97.3</v>
      </c>
      <c r="I742">
        <v>94.44</v>
      </c>
      <c r="J742">
        <v>32</v>
      </c>
      <c r="K742" t="s">
        <v>16</v>
      </c>
      <c r="L742" s="3">
        <f t="shared" si="11"/>
        <v>74418.720000000001</v>
      </c>
    </row>
    <row r="743" spans="1:12">
      <c r="A743" t="s">
        <v>769</v>
      </c>
      <c r="B743" t="s">
        <v>21</v>
      </c>
      <c r="C743" s="1">
        <v>44603</v>
      </c>
      <c r="D743" s="1">
        <v>44605</v>
      </c>
      <c r="E743" t="s">
        <v>14</v>
      </c>
      <c r="F743" t="s">
        <v>19</v>
      </c>
      <c r="G743" s="2">
        <v>1762</v>
      </c>
      <c r="H743" s="3">
        <v>74.12</v>
      </c>
      <c r="I743">
        <v>65.709999999999994</v>
      </c>
      <c r="J743">
        <v>94</v>
      </c>
      <c r="K743" t="s">
        <v>16</v>
      </c>
      <c r="L743" s="3">
        <f t="shared" si="11"/>
        <v>115781.01999999999</v>
      </c>
    </row>
    <row r="744" spans="1:12">
      <c r="A744" t="s">
        <v>770</v>
      </c>
      <c r="B744" t="s">
        <v>13</v>
      </c>
      <c r="C744" s="1">
        <v>44593</v>
      </c>
      <c r="E744" t="s">
        <v>26</v>
      </c>
      <c r="F744" t="s">
        <v>35</v>
      </c>
      <c r="G744" s="2">
        <v>1172</v>
      </c>
      <c r="H744" s="3">
        <v>85.76</v>
      </c>
      <c r="I744">
        <v>81.430000000000007</v>
      </c>
      <c r="J744">
        <v>25</v>
      </c>
      <c r="K744" t="s">
        <v>16</v>
      </c>
      <c r="L744" s="3">
        <f t="shared" si="11"/>
        <v>95435.96</v>
      </c>
    </row>
    <row r="745" spans="1:12">
      <c r="A745" t="s">
        <v>771</v>
      </c>
      <c r="B745" t="s">
        <v>18</v>
      </c>
      <c r="C745" s="1">
        <v>44815</v>
      </c>
      <c r="D745" s="1">
        <v>44834</v>
      </c>
      <c r="E745" t="s">
        <v>14</v>
      </c>
      <c r="F745" t="s">
        <v>19</v>
      </c>
      <c r="G745" s="2">
        <v>1621</v>
      </c>
      <c r="H745" s="3">
        <v>75.680000000000007</v>
      </c>
      <c r="I745">
        <v>73.78</v>
      </c>
      <c r="J745">
        <v>226</v>
      </c>
      <c r="K745" t="s">
        <v>27</v>
      </c>
      <c r="L745" s="3">
        <f t="shared" si="11"/>
        <v>119597.38</v>
      </c>
    </row>
    <row r="746" spans="1:12">
      <c r="A746" t="s">
        <v>772</v>
      </c>
      <c r="B746" t="s">
        <v>13</v>
      </c>
      <c r="C746" s="1">
        <v>44766</v>
      </c>
      <c r="D746" s="1">
        <v>44768</v>
      </c>
      <c r="E746" t="s">
        <v>24</v>
      </c>
      <c r="F746" t="s">
        <v>19</v>
      </c>
      <c r="G746" s="2">
        <v>1027</v>
      </c>
      <c r="H746" s="3">
        <v>73.349999999999994</v>
      </c>
      <c r="I746">
        <v>65.42</v>
      </c>
      <c r="J746">
        <v>24</v>
      </c>
      <c r="K746" t="s">
        <v>27</v>
      </c>
      <c r="L746" s="3">
        <f t="shared" si="11"/>
        <v>67186.34</v>
      </c>
    </row>
    <row r="747" spans="1:12">
      <c r="A747" t="s">
        <v>773</v>
      </c>
      <c r="B747" t="s">
        <v>38</v>
      </c>
      <c r="C747" s="1">
        <v>44582</v>
      </c>
      <c r="E747" t="s">
        <v>26</v>
      </c>
      <c r="F747" t="s">
        <v>19</v>
      </c>
      <c r="G747" s="2">
        <v>1058</v>
      </c>
      <c r="H747" s="3">
        <v>65.680000000000007</v>
      </c>
      <c r="I747">
        <v>57.21</v>
      </c>
      <c r="J747">
        <v>101</v>
      </c>
      <c r="K747" t="s">
        <v>16</v>
      </c>
      <c r="L747" s="3">
        <f t="shared" si="11"/>
        <v>60528.18</v>
      </c>
    </row>
    <row r="748" spans="1:12">
      <c r="A748" t="s">
        <v>774</v>
      </c>
      <c r="B748" t="s">
        <v>38</v>
      </c>
      <c r="C748" s="1">
        <v>45198</v>
      </c>
      <c r="D748" s="1">
        <v>45204</v>
      </c>
      <c r="E748" t="s">
        <v>24</v>
      </c>
      <c r="F748" t="s">
        <v>19</v>
      </c>
      <c r="G748">
        <v>145</v>
      </c>
      <c r="H748" s="3">
        <v>85.52</v>
      </c>
      <c r="I748">
        <v>81.86</v>
      </c>
      <c r="J748">
        <v>11</v>
      </c>
      <c r="K748" t="s">
        <v>27</v>
      </c>
      <c r="L748" s="3">
        <f t="shared" si="11"/>
        <v>11869.7</v>
      </c>
    </row>
    <row r="749" spans="1:12">
      <c r="A749" t="s">
        <v>775</v>
      </c>
      <c r="B749" t="s">
        <v>29</v>
      </c>
      <c r="C749" s="1">
        <v>44718</v>
      </c>
      <c r="E749" t="s">
        <v>14</v>
      </c>
      <c r="F749" t="s">
        <v>19</v>
      </c>
      <c r="G749" s="2">
        <v>1737</v>
      </c>
      <c r="H749" s="3">
        <v>24.88</v>
      </c>
      <c r="I749">
        <v>24.28</v>
      </c>
      <c r="J749">
        <v>46</v>
      </c>
      <c r="K749" t="s">
        <v>16</v>
      </c>
      <c r="L749" s="3">
        <f t="shared" si="11"/>
        <v>42174.36</v>
      </c>
    </row>
    <row r="750" spans="1:12">
      <c r="A750" t="s">
        <v>776</v>
      </c>
      <c r="B750" t="s">
        <v>21</v>
      </c>
      <c r="C750" s="1">
        <v>44806</v>
      </c>
      <c r="D750" s="1">
        <v>44819</v>
      </c>
      <c r="E750" t="s">
        <v>40</v>
      </c>
      <c r="F750" t="s">
        <v>19</v>
      </c>
      <c r="G750">
        <v>712</v>
      </c>
      <c r="H750" s="3">
        <v>92.85</v>
      </c>
      <c r="I750">
        <v>89.39</v>
      </c>
      <c r="J750">
        <v>43</v>
      </c>
      <c r="K750" t="s">
        <v>16</v>
      </c>
      <c r="L750" s="3">
        <f t="shared" si="11"/>
        <v>63645.68</v>
      </c>
    </row>
    <row r="751" spans="1:12">
      <c r="A751" t="s">
        <v>777</v>
      </c>
      <c r="B751" t="s">
        <v>29</v>
      </c>
      <c r="C751" s="1">
        <v>44691</v>
      </c>
      <c r="D751" s="1">
        <v>44697</v>
      </c>
      <c r="E751" t="s">
        <v>40</v>
      </c>
      <c r="F751" t="s">
        <v>19</v>
      </c>
      <c r="G751" s="2">
        <v>1263</v>
      </c>
      <c r="H751" s="3">
        <v>90.24</v>
      </c>
      <c r="I751">
        <v>86.84</v>
      </c>
      <c r="J751">
        <v>28</v>
      </c>
      <c r="K751" t="s">
        <v>16</v>
      </c>
      <c r="L751" s="3">
        <f t="shared" si="11"/>
        <v>109678.92</v>
      </c>
    </row>
    <row r="752" spans="1:12">
      <c r="A752" t="s">
        <v>778</v>
      </c>
      <c r="B752" t="s">
        <v>18</v>
      </c>
      <c r="C752" s="1">
        <v>45046</v>
      </c>
      <c r="E752" t="s">
        <v>40</v>
      </c>
      <c r="F752" t="s">
        <v>19</v>
      </c>
      <c r="G752" s="2">
        <v>1809</v>
      </c>
      <c r="H752" s="3">
        <v>13.58</v>
      </c>
      <c r="I752">
        <v>12.68</v>
      </c>
      <c r="K752" t="s">
        <v>27</v>
      </c>
      <c r="L752" s="3">
        <f t="shared" si="11"/>
        <v>22938.12</v>
      </c>
    </row>
    <row r="753" spans="1:12">
      <c r="A753" t="s">
        <v>779</v>
      </c>
      <c r="B753" t="s">
        <v>38</v>
      </c>
      <c r="C753" s="1">
        <v>45247</v>
      </c>
      <c r="E753" t="s">
        <v>40</v>
      </c>
      <c r="F753" t="s">
        <v>15</v>
      </c>
      <c r="G753">
        <v>86</v>
      </c>
      <c r="H753" s="3">
        <v>93.6</v>
      </c>
      <c r="I753">
        <v>88.22</v>
      </c>
      <c r="J753">
        <v>5</v>
      </c>
      <c r="K753" t="s">
        <v>16</v>
      </c>
      <c r="L753" s="3">
        <f t="shared" si="11"/>
        <v>7586.92</v>
      </c>
    </row>
    <row r="754" spans="1:12">
      <c r="A754" t="s">
        <v>780</v>
      </c>
      <c r="B754" t="s">
        <v>29</v>
      </c>
      <c r="C754" s="1">
        <v>44679</v>
      </c>
      <c r="E754" t="s">
        <v>22</v>
      </c>
      <c r="F754" t="s">
        <v>19</v>
      </c>
      <c r="G754" s="2">
        <v>1853</v>
      </c>
      <c r="H754" s="3">
        <v>21.92</v>
      </c>
      <c r="I754">
        <v>20.72</v>
      </c>
      <c r="K754" t="s">
        <v>16</v>
      </c>
      <c r="L754" s="3">
        <f t="shared" si="11"/>
        <v>38394.159999999996</v>
      </c>
    </row>
    <row r="755" spans="1:12">
      <c r="A755" t="s">
        <v>781</v>
      </c>
      <c r="B755" t="s">
        <v>38</v>
      </c>
      <c r="C755" s="1">
        <v>45139</v>
      </c>
      <c r="D755" s="1">
        <v>45140</v>
      </c>
      <c r="E755" t="s">
        <v>40</v>
      </c>
      <c r="F755" t="s">
        <v>19</v>
      </c>
      <c r="G755" s="2">
        <v>1442</v>
      </c>
      <c r="H755" s="3">
        <v>43.98</v>
      </c>
      <c r="I755">
        <v>41.82</v>
      </c>
      <c r="J755">
        <v>140</v>
      </c>
      <c r="K755" t="s">
        <v>27</v>
      </c>
      <c r="L755" s="3">
        <f t="shared" si="11"/>
        <v>60304.44</v>
      </c>
    </row>
    <row r="756" spans="1:12">
      <c r="A756" t="s">
        <v>782</v>
      </c>
      <c r="B756" t="s">
        <v>38</v>
      </c>
      <c r="C756" s="1">
        <v>44785</v>
      </c>
      <c r="D756" s="1">
        <v>44805</v>
      </c>
      <c r="E756" t="s">
        <v>14</v>
      </c>
      <c r="F756" t="s">
        <v>35</v>
      </c>
      <c r="G756" s="2">
        <v>1768</v>
      </c>
      <c r="H756" s="3">
        <v>79.61</v>
      </c>
      <c r="I756">
        <v>74.97</v>
      </c>
      <c r="J756">
        <v>207</v>
      </c>
      <c r="K756" t="s">
        <v>27</v>
      </c>
      <c r="L756" s="3">
        <f t="shared" si="11"/>
        <v>132546.96</v>
      </c>
    </row>
    <row r="757" spans="1:12">
      <c r="A757" t="s">
        <v>783</v>
      </c>
      <c r="B757" t="s">
        <v>38</v>
      </c>
      <c r="C757" s="1">
        <v>45038</v>
      </c>
      <c r="D757" s="1">
        <v>45049</v>
      </c>
      <c r="E757" t="s">
        <v>40</v>
      </c>
      <c r="F757" t="s">
        <v>33</v>
      </c>
      <c r="G757" s="2">
        <v>1598</v>
      </c>
      <c r="H757" s="3">
        <v>26.3</v>
      </c>
      <c r="I757">
        <v>26.03</v>
      </c>
      <c r="J757">
        <v>154</v>
      </c>
      <c r="K757" t="s">
        <v>27</v>
      </c>
      <c r="L757" s="3">
        <f t="shared" si="11"/>
        <v>41595.94</v>
      </c>
    </row>
    <row r="758" spans="1:12">
      <c r="A758" t="s">
        <v>784</v>
      </c>
      <c r="B758" t="s">
        <v>13</v>
      </c>
      <c r="C758" s="1">
        <v>45278</v>
      </c>
      <c r="D758" s="1">
        <v>45296</v>
      </c>
      <c r="E758" t="s">
        <v>22</v>
      </c>
      <c r="F758" t="s">
        <v>15</v>
      </c>
      <c r="G758">
        <v>328</v>
      </c>
      <c r="H758" s="3">
        <v>93.23</v>
      </c>
      <c r="I758">
        <v>82.63</v>
      </c>
      <c r="J758">
        <v>6</v>
      </c>
      <c r="K758" t="s">
        <v>16</v>
      </c>
      <c r="L758" s="3">
        <f t="shared" si="11"/>
        <v>27102.639999999999</v>
      </c>
    </row>
    <row r="759" spans="1:12">
      <c r="A759" t="s">
        <v>785</v>
      </c>
      <c r="B759" t="s">
        <v>29</v>
      </c>
      <c r="C759" s="1">
        <v>44824</v>
      </c>
      <c r="D759" s="1">
        <v>44829</v>
      </c>
      <c r="E759" t="s">
        <v>24</v>
      </c>
      <c r="F759" t="s">
        <v>19</v>
      </c>
      <c r="G759">
        <v>266</v>
      </c>
      <c r="H759" s="3">
        <v>88.29</v>
      </c>
      <c r="I759">
        <v>80.22</v>
      </c>
      <c r="J759">
        <v>4</v>
      </c>
      <c r="K759" t="s">
        <v>16</v>
      </c>
      <c r="L759" s="3">
        <f t="shared" si="11"/>
        <v>21338.52</v>
      </c>
    </row>
    <row r="760" spans="1:12">
      <c r="A760" t="s">
        <v>786</v>
      </c>
      <c r="B760" t="s">
        <v>21</v>
      </c>
      <c r="C760" s="1">
        <v>44939</v>
      </c>
      <c r="D760" s="1">
        <v>44954</v>
      </c>
      <c r="E760" t="s">
        <v>26</v>
      </c>
      <c r="F760" t="s">
        <v>19</v>
      </c>
      <c r="G760">
        <v>916</v>
      </c>
      <c r="H760" s="3">
        <v>59.01</v>
      </c>
      <c r="I760">
        <v>53.37</v>
      </c>
      <c r="J760">
        <v>47</v>
      </c>
      <c r="K760" t="s">
        <v>16</v>
      </c>
      <c r="L760" s="3">
        <f t="shared" si="11"/>
        <v>48886.92</v>
      </c>
    </row>
    <row r="761" spans="1:12">
      <c r="A761" t="s">
        <v>787</v>
      </c>
      <c r="B761" t="s">
        <v>29</v>
      </c>
      <c r="C761" s="1">
        <v>44733</v>
      </c>
      <c r="D761" s="1">
        <v>44737</v>
      </c>
      <c r="E761" t="s">
        <v>24</v>
      </c>
      <c r="F761" t="s">
        <v>15</v>
      </c>
      <c r="G761">
        <v>922</v>
      </c>
      <c r="H761" s="3">
        <v>10.84</v>
      </c>
      <c r="I761">
        <v>9.27</v>
      </c>
      <c r="J761">
        <v>29</v>
      </c>
      <c r="K761" t="s">
        <v>16</v>
      </c>
      <c r="L761" s="3">
        <f t="shared" si="11"/>
        <v>8546.94</v>
      </c>
    </row>
    <row r="762" spans="1:12">
      <c r="A762" t="s">
        <v>788</v>
      </c>
      <c r="B762" t="s">
        <v>21</v>
      </c>
      <c r="C762" s="1">
        <v>45182</v>
      </c>
      <c r="D762" s="1">
        <v>45197</v>
      </c>
      <c r="E762" t="s">
        <v>24</v>
      </c>
      <c r="F762" t="s">
        <v>19</v>
      </c>
      <c r="G762" s="2">
        <v>1871</v>
      </c>
      <c r="H762" s="3">
        <v>39.42</v>
      </c>
      <c r="I762">
        <v>37.409999999999997</v>
      </c>
      <c r="J762">
        <v>101</v>
      </c>
      <c r="K762" t="s">
        <v>27</v>
      </c>
      <c r="L762" s="3">
        <f t="shared" si="11"/>
        <v>69994.11</v>
      </c>
    </row>
    <row r="763" spans="1:12">
      <c r="A763" t="s">
        <v>789</v>
      </c>
      <c r="B763" t="s">
        <v>29</v>
      </c>
      <c r="C763" s="1">
        <v>45183</v>
      </c>
      <c r="D763" s="1">
        <v>45189</v>
      </c>
      <c r="E763" t="s">
        <v>26</v>
      </c>
      <c r="F763" t="s">
        <v>19</v>
      </c>
      <c r="G763" s="2">
        <v>1346</v>
      </c>
      <c r="H763" s="3">
        <v>72.08</v>
      </c>
      <c r="I763">
        <v>67.040000000000006</v>
      </c>
      <c r="J763">
        <v>38</v>
      </c>
      <c r="K763" t="s">
        <v>16</v>
      </c>
      <c r="L763" s="3">
        <f t="shared" si="11"/>
        <v>90235.840000000011</v>
      </c>
    </row>
    <row r="764" spans="1:12">
      <c r="A764" t="s">
        <v>790</v>
      </c>
      <c r="B764" t="s">
        <v>29</v>
      </c>
      <c r="C764" s="1">
        <v>44679</v>
      </c>
      <c r="D764" s="1">
        <v>44690</v>
      </c>
      <c r="E764" t="s">
        <v>40</v>
      </c>
      <c r="F764" t="s">
        <v>19</v>
      </c>
      <c r="G764" s="2">
        <v>1954</v>
      </c>
      <c r="H764" s="3">
        <v>99.78</v>
      </c>
      <c r="I764">
        <v>87.47</v>
      </c>
      <c r="J764">
        <v>57</v>
      </c>
      <c r="K764" t="s">
        <v>16</v>
      </c>
      <c r="L764" s="3">
        <f t="shared" si="11"/>
        <v>170916.38</v>
      </c>
    </row>
    <row r="765" spans="1:12">
      <c r="A765" t="s">
        <v>791</v>
      </c>
      <c r="B765" t="s">
        <v>38</v>
      </c>
      <c r="C765" s="1">
        <v>44729</v>
      </c>
      <c r="D765" s="1">
        <v>44748</v>
      </c>
      <c r="E765" t="s">
        <v>40</v>
      </c>
      <c r="F765" t="s">
        <v>19</v>
      </c>
      <c r="G765">
        <v>111</v>
      </c>
      <c r="H765" s="3">
        <v>68.53</v>
      </c>
      <c r="I765">
        <v>65.22</v>
      </c>
      <c r="J765">
        <v>11</v>
      </c>
      <c r="K765" t="s">
        <v>16</v>
      </c>
      <c r="L765" s="3">
        <f t="shared" si="11"/>
        <v>7239.42</v>
      </c>
    </row>
    <row r="766" spans="1:12">
      <c r="A766" t="s">
        <v>792</v>
      </c>
      <c r="B766" t="s">
        <v>21</v>
      </c>
      <c r="C766" s="1">
        <v>44880</v>
      </c>
      <c r="D766" s="1">
        <v>44887</v>
      </c>
      <c r="E766" t="s">
        <v>14</v>
      </c>
      <c r="F766" t="s">
        <v>35</v>
      </c>
      <c r="G766">
        <v>645</v>
      </c>
      <c r="H766" s="3">
        <v>35.049999999999997</v>
      </c>
      <c r="I766">
        <v>30.88</v>
      </c>
      <c r="J766">
        <v>27</v>
      </c>
      <c r="K766" t="s">
        <v>16</v>
      </c>
      <c r="L766" s="3">
        <f t="shared" si="11"/>
        <v>19917.599999999999</v>
      </c>
    </row>
    <row r="767" spans="1:12">
      <c r="A767" t="s">
        <v>793</v>
      </c>
      <c r="B767" t="s">
        <v>21</v>
      </c>
      <c r="C767" s="1">
        <v>44672</v>
      </c>
      <c r="D767" s="1">
        <v>44685</v>
      </c>
      <c r="E767" t="s">
        <v>40</v>
      </c>
      <c r="F767" t="s">
        <v>15</v>
      </c>
      <c r="G767" s="2">
        <v>1953</v>
      </c>
      <c r="H767" s="3">
        <v>68.069999999999993</v>
      </c>
      <c r="I767">
        <v>62.95</v>
      </c>
      <c r="J767">
        <v>87</v>
      </c>
      <c r="K767" t="s">
        <v>16</v>
      </c>
      <c r="L767" s="3">
        <f t="shared" si="11"/>
        <v>122941.35</v>
      </c>
    </row>
    <row r="768" spans="1:12">
      <c r="A768" t="s">
        <v>794</v>
      </c>
      <c r="B768" t="s">
        <v>21</v>
      </c>
      <c r="C768" s="1">
        <v>45154</v>
      </c>
      <c r="D768" s="1">
        <v>45171</v>
      </c>
      <c r="E768" t="s">
        <v>40</v>
      </c>
      <c r="F768" t="s">
        <v>19</v>
      </c>
      <c r="G768">
        <v>778</v>
      </c>
      <c r="H768" s="3">
        <v>64.17</v>
      </c>
      <c r="I768">
        <v>61.6</v>
      </c>
      <c r="J768">
        <v>47</v>
      </c>
      <c r="K768" t="s">
        <v>16</v>
      </c>
      <c r="L768" s="3">
        <f t="shared" si="11"/>
        <v>47924.800000000003</v>
      </c>
    </row>
    <row r="769" spans="1:12">
      <c r="A769" t="s">
        <v>795</v>
      </c>
      <c r="B769" t="s">
        <v>29</v>
      </c>
      <c r="C769" s="1">
        <v>44588</v>
      </c>
      <c r="D769" s="1">
        <v>44601</v>
      </c>
      <c r="E769" t="s">
        <v>14</v>
      </c>
      <c r="F769" t="s">
        <v>19</v>
      </c>
      <c r="G769" s="2">
        <v>1415</v>
      </c>
      <c r="H769" s="3">
        <v>80.19</v>
      </c>
      <c r="I769">
        <v>78.34</v>
      </c>
      <c r="K769" t="s">
        <v>16</v>
      </c>
      <c r="L769" s="3">
        <f t="shared" si="11"/>
        <v>110851.1</v>
      </c>
    </row>
    <row r="770" spans="1:12">
      <c r="A770" t="s">
        <v>796</v>
      </c>
      <c r="B770" t="s">
        <v>21</v>
      </c>
      <c r="C770" s="1">
        <v>44881</v>
      </c>
      <c r="D770" s="1">
        <v>44887</v>
      </c>
      <c r="E770" t="s">
        <v>26</v>
      </c>
      <c r="F770" t="s">
        <v>19</v>
      </c>
      <c r="G770">
        <v>446</v>
      </c>
      <c r="H770" s="3">
        <v>20.61</v>
      </c>
      <c r="I770">
        <v>19.46</v>
      </c>
      <c r="J770">
        <v>14</v>
      </c>
      <c r="K770" t="s">
        <v>16</v>
      </c>
      <c r="L770" s="3">
        <f t="shared" si="11"/>
        <v>8679.16</v>
      </c>
    </row>
    <row r="771" spans="1:12">
      <c r="A771" t="s">
        <v>797</v>
      </c>
      <c r="B771" t="s">
        <v>29</v>
      </c>
      <c r="C771" s="1">
        <v>45151</v>
      </c>
      <c r="E771" t="s">
        <v>14</v>
      </c>
      <c r="F771" t="s">
        <v>19</v>
      </c>
      <c r="G771">
        <v>748</v>
      </c>
      <c r="H771" s="3">
        <v>85.95</v>
      </c>
      <c r="I771">
        <v>79.16</v>
      </c>
      <c r="J771">
        <v>32</v>
      </c>
      <c r="K771" t="s">
        <v>16</v>
      </c>
      <c r="L771" s="3">
        <f t="shared" ref="L771:L778" si="12">I771*G771</f>
        <v>59211.68</v>
      </c>
    </row>
    <row r="772" spans="1:12">
      <c r="A772" t="s">
        <v>798</v>
      </c>
      <c r="B772" t="s">
        <v>13</v>
      </c>
      <c r="C772" s="1">
        <v>45255</v>
      </c>
      <c r="D772" s="1">
        <v>45263</v>
      </c>
      <c r="E772" t="s">
        <v>40</v>
      </c>
      <c r="F772" t="s">
        <v>35</v>
      </c>
      <c r="G772" s="2">
        <v>1092</v>
      </c>
      <c r="H772" s="3">
        <v>65.17</v>
      </c>
      <c r="I772">
        <v>63.11</v>
      </c>
      <c r="J772">
        <v>21</v>
      </c>
      <c r="K772" t="s">
        <v>16</v>
      </c>
      <c r="L772" s="3">
        <f t="shared" si="12"/>
        <v>68916.12</v>
      </c>
    </row>
    <row r="773" spans="1:12">
      <c r="A773" t="s">
        <v>799</v>
      </c>
      <c r="B773" t="s">
        <v>38</v>
      </c>
      <c r="C773" s="1">
        <v>44946</v>
      </c>
      <c r="D773" s="1">
        <v>44959</v>
      </c>
      <c r="E773" t="s">
        <v>40</v>
      </c>
      <c r="F773" t="s">
        <v>19</v>
      </c>
      <c r="G773">
        <v>226</v>
      </c>
      <c r="H773" s="3">
        <v>102.47</v>
      </c>
      <c r="I773">
        <v>99.16</v>
      </c>
      <c r="J773">
        <v>28</v>
      </c>
      <c r="K773" t="s">
        <v>16</v>
      </c>
      <c r="L773" s="3">
        <f>I773*G773</f>
        <v>22410.16</v>
      </c>
    </row>
    <row r="774" spans="1:12">
      <c r="A774" t="s">
        <v>800</v>
      </c>
      <c r="B774" t="s">
        <v>18</v>
      </c>
      <c r="C774" s="1">
        <v>44968</v>
      </c>
      <c r="D774" s="1">
        <v>44977</v>
      </c>
      <c r="E774" t="s">
        <v>40</v>
      </c>
      <c r="F774" t="s">
        <v>19</v>
      </c>
      <c r="G774" s="2">
        <v>1685</v>
      </c>
      <c r="H774" s="3">
        <v>43.42</v>
      </c>
      <c r="I774">
        <v>42.24</v>
      </c>
      <c r="J774">
        <v>262</v>
      </c>
      <c r="K774" t="s">
        <v>16</v>
      </c>
      <c r="L774" s="3">
        <f t="shared" si="12"/>
        <v>71174.400000000009</v>
      </c>
    </row>
    <row r="775" spans="1:12">
      <c r="A775" t="s">
        <v>801</v>
      </c>
      <c r="B775" t="s">
        <v>13</v>
      </c>
      <c r="C775" s="1">
        <v>44765</v>
      </c>
      <c r="E775" t="s">
        <v>14</v>
      </c>
      <c r="F775" t="s">
        <v>19</v>
      </c>
      <c r="G775">
        <v>445</v>
      </c>
      <c r="H775" s="3">
        <v>68.94</v>
      </c>
      <c r="I775">
        <v>60.35</v>
      </c>
      <c r="J775">
        <v>7</v>
      </c>
      <c r="K775" t="s">
        <v>16</v>
      </c>
      <c r="L775" s="3">
        <f t="shared" si="12"/>
        <v>26855.75</v>
      </c>
    </row>
    <row r="776" spans="1:12">
      <c r="A776" t="s">
        <v>802</v>
      </c>
      <c r="B776" t="s">
        <v>21</v>
      </c>
      <c r="C776" s="1">
        <v>44639</v>
      </c>
      <c r="D776" s="1">
        <v>44658</v>
      </c>
      <c r="E776" t="s">
        <v>26</v>
      </c>
      <c r="F776" t="s">
        <v>19</v>
      </c>
      <c r="G776">
        <v>494</v>
      </c>
      <c r="H776" s="3">
        <v>94.82</v>
      </c>
      <c r="I776">
        <v>81.89</v>
      </c>
      <c r="J776">
        <v>29</v>
      </c>
      <c r="K776" t="s">
        <v>16</v>
      </c>
      <c r="L776" s="3">
        <f t="shared" si="12"/>
        <v>40453.660000000003</v>
      </c>
    </row>
    <row r="777" spans="1:12">
      <c r="A777" t="s">
        <v>803</v>
      </c>
      <c r="B777" t="s">
        <v>38</v>
      </c>
      <c r="C777" s="1">
        <v>45168</v>
      </c>
      <c r="D777" s="1">
        <v>45180</v>
      </c>
      <c r="E777" t="s">
        <v>22</v>
      </c>
      <c r="F777" t="s">
        <v>19</v>
      </c>
      <c r="G777" s="2">
        <v>1306</v>
      </c>
      <c r="H777" s="3">
        <v>21.05</v>
      </c>
      <c r="I777">
        <v>18.27</v>
      </c>
      <c r="J777">
        <v>128</v>
      </c>
      <c r="K777" t="s">
        <v>16</v>
      </c>
      <c r="L777" s="3">
        <f t="shared" si="12"/>
        <v>23860.62</v>
      </c>
    </row>
    <row r="778" spans="1:12">
      <c r="A778" t="s">
        <v>804</v>
      </c>
      <c r="B778" t="s">
        <v>38</v>
      </c>
      <c r="C778" s="1">
        <v>45269</v>
      </c>
      <c r="D778" s="1">
        <v>45271</v>
      </c>
      <c r="E778" t="s">
        <v>14</v>
      </c>
      <c r="F778" t="s">
        <v>19</v>
      </c>
      <c r="G778" s="2">
        <v>1988</v>
      </c>
      <c r="H778" s="3">
        <v>105.2</v>
      </c>
      <c r="I778">
        <v>93.23</v>
      </c>
      <c r="J778">
        <v>187</v>
      </c>
      <c r="K778" t="s">
        <v>16</v>
      </c>
      <c r="L778" s="3">
        <f t="shared" si="12"/>
        <v>185341.24000000002</v>
      </c>
    </row>
    <row r="779" spans="1:12">
      <c r="H779" s="3"/>
      <c r="L779" s="3"/>
    </row>
    <row r="780" spans="1:12">
      <c r="H780" s="3"/>
    </row>
    <row r="781" spans="1:12">
      <c r="H781" s="3"/>
    </row>
    <row r="782" spans="1:12">
      <c r="H78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Spend By Supplier</vt:lpstr>
      <vt:lpstr>Order Status By Supplier</vt:lpstr>
      <vt:lpstr>Procurement KPI Analysis 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Terrell</cp:lastModifiedBy>
  <dcterms:created xsi:type="dcterms:W3CDTF">2026-08-04T00:00:21Z</dcterms:created>
  <dcterms:modified xsi:type="dcterms:W3CDTF">2026-08-04T00:00:21Z</dcterms:modified>
</cp:coreProperties>
</file>